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robledo\Desktop\AJUSTADAS\"/>
    </mc:Choice>
  </mc:AlternateContent>
  <xr:revisionPtr revIDLastSave="0" documentId="13_ncr:1_{8BD73B4E-0B0E-4AA8-A58C-F76C3EBB68E0}" xr6:coauthVersionLast="47" xr6:coauthVersionMax="47" xr10:uidLastSave="{00000000-0000-0000-0000-000000000000}"/>
  <bookViews>
    <workbookView xWindow="-110" yWindow="-110" windowWidth="19420" windowHeight="10300" activeTab="1" xr2:uid="{E2FF54B4-EF7A-4129-8B97-88601E202C45}"/>
  </bookViews>
  <sheets>
    <sheet name="Upriver" sheetId="1" r:id="rId1"/>
    <sheet name="Ajustada" sheetId="3" r:id="rId2"/>
    <sheet name="Financiero" sheetId="5" r:id="rId3"/>
    <sheet name="Breakdown" sheetId="4" r:id="rId4"/>
    <sheet name="Calculos" sheetId="2" r:id="rId5"/>
  </sheets>
  <externalReferences>
    <externalReference r:id="rId6"/>
  </externalReferences>
  <definedNames>
    <definedName name="_xlnm.Print_Area" localSheetId="1">Ajustada!$B$5:$E$65</definedName>
    <definedName name="_xlnm.Print_Area" localSheetId="3">Breakdown!$A$1:$O$123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3" l="1"/>
  <c r="D27" i="3"/>
  <c r="D26" i="3"/>
  <c r="D25" i="3"/>
  <c r="D24" i="3"/>
  <c r="D23" i="3"/>
  <c r="D22" i="3"/>
  <c r="D21" i="3"/>
  <c r="E7" i="5" l="1"/>
  <c r="E6" i="5"/>
  <c r="E31" i="5"/>
  <c r="E30" i="5"/>
  <c r="E29" i="5"/>
  <c r="E17" i="5"/>
  <c r="F17" i="5" s="1"/>
  <c r="E10" i="5"/>
  <c r="F10" i="5" s="1"/>
  <c r="E11" i="5"/>
  <c r="F11" i="5" s="1"/>
  <c r="E12" i="5"/>
  <c r="F12" i="5" s="1"/>
  <c r="E13" i="5"/>
  <c r="F13" i="5" s="1"/>
  <c r="E14" i="5"/>
  <c r="F14" i="5" s="1"/>
  <c r="E15" i="5"/>
  <c r="F15" i="5" s="1"/>
  <c r="E16" i="5"/>
  <c r="F16" i="5" s="1"/>
  <c r="C47" i="3" l="1"/>
  <c r="F40" i="4"/>
  <c r="G38" i="4"/>
  <c r="G109" i="4"/>
  <c r="N81" i="4"/>
  <c r="N85" i="4" s="1"/>
  <c r="N65" i="4"/>
  <c r="N103" i="4" l="1"/>
  <c r="G65" i="4"/>
  <c r="B89" i="2" l="1"/>
  <c r="B117" i="2"/>
  <c r="B116" i="2"/>
  <c r="B115" i="2"/>
  <c r="G107" i="2"/>
  <c r="G106" i="2"/>
  <c r="B106" i="2"/>
  <c r="G105" i="2"/>
  <c r="B105" i="2"/>
  <c r="B104" i="2"/>
  <c r="G95" i="2"/>
  <c r="B95" i="2"/>
  <c r="G94" i="2"/>
  <c r="B94" i="2"/>
  <c r="G93" i="2"/>
  <c r="B93" i="2"/>
  <c r="B99" i="2" l="1"/>
  <c r="G99" i="2"/>
  <c r="B121" i="2"/>
  <c r="B110" i="2"/>
  <c r="G110" i="2"/>
  <c r="C27" i="5" l="1"/>
  <c r="C26" i="5"/>
  <c r="C25" i="5"/>
  <c r="C24" i="5"/>
  <c r="C23" i="5"/>
  <c r="C22" i="5"/>
  <c r="C21" i="5"/>
  <c r="C20" i="5"/>
  <c r="C19" i="5"/>
  <c r="C18" i="5"/>
  <c r="F31" i="5" l="1"/>
  <c r="C31" i="5"/>
  <c r="F30" i="5"/>
  <c r="G30" i="5" s="1"/>
  <c r="H30" i="5" s="1"/>
  <c r="F29" i="5"/>
  <c r="G29" i="5" s="1"/>
  <c r="H29" i="5" s="1"/>
  <c r="E28" i="5"/>
  <c r="F28" i="5" s="1"/>
  <c r="E27" i="5"/>
  <c r="F27" i="5" s="1"/>
  <c r="G27" i="5" s="1"/>
  <c r="E26" i="5"/>
  <c r="F26" i="5" s="1"/>
  <c r="G26" i="5" s="1"/>
  <c r="E25" i="5"/>
  <c r="F25" i="5" s="1"/>
  <c r="G25" i="5" s="1"/>
  <c r="E24" i="5"/>
  <c r="F24" i="5" s="1"/>
  <c r="G24" i="5" s="1"/>
  <c r="E23" i="5"/>
  <c r="F23" i="5" s="1"/>
  <c r="G23" i="5" s="1"/>
  <c r="E22" i="5"/>
  <c r="F22" i="5" s="1"/>
  <c r="G22" i="5" s="1"/>
  <c r="E21" i="5"/>
  <c r="F21" i="5" s="1"/>
  <c r="G21" i="5" s="1"/>
  <c r="E20" i="5"/>
  <c r="F20" i="5" s="1"/>
  <c r="G20" i="5" s="1"/>
  <c r="E19" i="5"/>
  <c r="F19" i="5" s="1"/>
  <c r="G19" i="5" s="1"/>
  <c r="E18" i="5"/>
  <c r="F18" i="5" s="1"/>
  <c r="G18" i="5" s="1"/>
  <c r="E9" i="5"/>
  <c r="F9" i="5" s="1"/>
  <c r="E8" i="5"/>
  <c r="F8" i="5" s="1"/>
  <c r="F7" i="5"/>
  <c r="F6" i="5"/>
  <c r="G31" i="5" l="1"/>
  <c r="H31" i="5" s="1"/>
  <c r="H20" i="5"/>
  <c r="I20" i="5" s="1"/>
  <c r="H21" i="5"/>
  <c r="I21" i="5" s="1"/>
  <c r="H22" i="5"/>
  <c r="I22" i="5" s="1"/>
  <c r="H25" i="5"/>
  <c r="I25" i="5" s="1"/>
  <c r="H26" i="5"/>
  <c r="I26" i="5" s="1"/>
  <c r="H24" i="5"/>
  <c r="I24" i="5" s="1"/>
  <c r="H19" i="5"/>
  <c r="I19" i="5" s="1"/>
  <c r="H23" i="5"/>
  <c r="I23" i="5" s="1"/>
  <c r="H27" i="5"/>
  <c r="I27" i="5" s="1"/>
  <c r="H18" i="5"/>
  <c r="I18" i="5" s="1"/>
  <c r="K31" i="2" l="1"/>
  <c r="I4" i="2"/>
  <c r="M119" i="4" l="1"/>
  <c r="N106" i="4"/>
  <c r="G83" i="4"/>
  <c r="G104" i="4" s="1"/>
  <c r="G103" i="4"/>
  <c r="G106" i="4" s="1"/>
  <c r="B89" i="4"/>
  <c r="N82" i="4"/>
  <c r="N86" i="4" s="1"/>
  <c r="N83" i="4"/>
  <c r="N104" i="4" s="1"/>
  <c r="G82" i="4"/>
  <c r="G81" i="4"/>
  <c r="D27" i="4"/>
  <c r="D26" i="4"/>
  <c r="J48" i="1"/>
  <c r="G58" i="2"/>
  <c r="J51" i="1" s="1"/>
  <c r="H58" i="2"/>
  <c r="K51" i="1" s="1"/>
  <c r="N108" i="4" s="1"/>
  <c r="F58" i="2"/>
  <c r="I51" i="1" s="1"/>
  <c r="E58" i="2"/>
  <c r="H51" i="1" s="1"/>
  <c r="G108" i="4" s="1"/>
  <c r="K64" i="2"/>
  <c r="J80" i="2" s="1"/>
  <c r="F57" i="2"/>
  <c r="I50" i="1" s="1"/>
  <c r="F56" i="2"/>
  <c r="I49" i="1" s="1"/>
  <c r="G56" i="2"/>
  <c r="J49" i="1" s="1"/>
  <c r="H56" i="2"/>
  <c r="K49" i="1" s="1"/>
  <c r="E56" i="2"/>
  <c r="H49" i="1" s="1"/>
  <c r="G111" i="4" s="1"/>
  <c r="H30" i="2"/>
  <c r="H31" i="2"/>
  <c r="H32" i="2"/>
  <c r="H33" i="2"/>
  <c r="H29" i="2"/>
  <c r="K30" i="2"/>
  <c r="K32" i="2"/>
  <c r="K33" i="2"/>
  <c r="K29" i="2"/>
  <c r="E30" i="2"/>
  <c r="E31" i="2"/>
  <c r="E32" i="2"/>
  <c r="E33" i="2"/>
  <c r="E29" i="2"/>
  <c r="D39" i="2" s="1"/>
  <c r="H39" i="1" s="1"/>
  <c r="B30" i="2"/>
  <c r="B31" i="2"/>
  <c r="B32" i="2"/>
  <c r="B33" i="2"/>
  <c r="B29" i="2"/>
  <c r="A39" i="2" s="1"/>
  <c r="G90" i="4" s="1"/>
  <c r="B28" i="2"/>
  <c r="E28" i="2" s="1"/>
  <c r="H28" i="2" s="1"/>
  <c r="D24" i="4"/>
  <c r="K45" i="4" l="1"/>
  <c r="F46" i="4"/>
  <c r="F34" i="4"/>
  <c r="D33" i="4"/>
  <c r="D45" i="4"/>
  <c r="M46" i="4"/>
  <c r="K39" i="4"/>
  <c r="M34" i="4"/>
  <c r="K33" i="4"/>
  <c r="M40" i="4"/>
  <c r="G45" i="4"/>
  <c r="N44" i="4"/>
  <c r="N33" i="4"/>
  <c r="G44" i="4"/>
  <c r="G33" i="4"/>
  <c r="N32" i="4"/>
  <c r="N35" i="4" s="1"/>
  <c r="N39" i="4"/>
  <c r="G32" i="4"/>
  <c r="N38" i="4"/>
  <c r="N41" i="4" s="1"/>
  <c r="N45" i="4"/>
  <c r="G39" i="4"/>
  <c r="G41" i="4" s="1"/>
  <c r="D37" i="2"/>
  <c r="H40" i="1" s="1"/>
  <c r="A37" i="2"/>
  <c r="G40" i="1" s="1"/>
  <c r="G37" i="2"/>
  <c r="I40" i="1" s="1"/>
  <c r="J37" i="2"/>
  <c r="J40" i="1" s="1"/>
  <c r="N89" i="4" s="1"/>
  <c r="N111" i="4"/>
  <c r="C17" i="5"/>
  <c r="G17" i="5" s="1"/>
  <c r="H17" i="5" s="1"/>
  <c r="I17" i="5" s="1"/>
  <c r="F55" i="2"/>
  <c r="D69" i="2"/>
  <c r="I69" i="2"/>
  <c r="E80" i="2"/>
  <c r="E55" i="2"/>
  <c r="H48" i="1" s="1"/>
  <c r="G55" i="2"/>
  <c r="L72" i="2"/>
  <c r="G34" i="2"/>
  <c r="E57" i="2"/>
  <c r="H50" i="1" s="1"/>
  <c r="D34" i="2"/>
  <c r="G35" i="2"/>
  <c r="H57" i="2"/>
  <c r="K50" i="1" s="1"/>
  <c r="N110" i="4" s="1"/>
  <c r="G57" i="2"/>
  <c r="J50" i="1" s="1"/>
  <c r="J53" i="1" s="1"/>
  <c r="O50" i="1" s="1"/>
  <c r="J34" i="2"/>
  <c r="G38" i="2"/>
  <c r="I41" i="1" s="1"/>
  <c r="D35" i="2"/>
  <c r="D38" i="2"/>
  <c r="H41" i="1" s="1"/>
  <c r="K28" i="2"/>
  <c r="H55" i="2" s="1"/>
  <c r="K48" i="1" s="1"/>
  <c r="J39" i="2"/>
  <c r="J39" i="1" s="1"/>
  <c r="N90" i="4" s="1"/>
  <c r="A35" i="2"/>
  <c r="A34" i="2"/>
  <c r="A38" i="2"/>
  <c r="G41" i="1" s="1"/>
  <c r="F59" i="2" l="1"/>
  <c r="I48" i="1"/>
  <c r="I53" i="1" s="1"/>
  <c r="O49" i="1" s="1"/>
  <c r="G47" i="4"/>
  <c r="G35" i="4"/>
  <c r="N47" i="4"/>
  <c r="G88" i="4"/>
  <c r="G89" i="4"/>
  <c r="C14" i="5"/>
  <c r="G110" i="4"/>
  <c r="I89" i="4"/>
  <c r="D72" i="2"/>
  <c r="K55" i="2"/>
  <c r="G107" i="4" s="1"/>
  <c r="L55" i="2"/>
  <c r="J38" i="2"/>
  <c r="J41" i="1" s="1"/>
  <c r="C15" i="5" s="1"/>
  <c r="G15" i="5" s="1"/>
  <c r="H15" i="5" s="1"/>
  <c r="I15" i="5" s="1"/>
  <c r="H59" i="2"/>
  <c r="G59" i="2"/>
  <c r="E59" i="2"/>
  <c r="G36" i="2"/>
  <c r="I38" i="1" s="1"/>
  <c r="D36" i="2"/>
  <c r="H38" i="1" s="1"/>
  <c r="J35" i="2"/>
  <c r="J36" i="2" s="1"/>
  <c r="N87" i="4" s="1"/>
  <c r="A36" i="2"/>
  <c r="G87" i="4" s="1"/>
  <c r="G14" i="5" l="1"/>
  <c r="H14" i="5" s="1"/>
  <c r="H50" i="4"/>
  <c r="G113" i="4"/>
  <c r="N109" i="4"/>
  <c r="N107" i="4"/>
  <c r="J38" i="1"/>
  <c r="N88" i="4"/>
  <c r="A42" i="2"/>
  <c r="E60" i="2"/>
  <c r="G38" i="1"/>
  <c r="J42" i="2"/>
  <c r="D42" i="2"/>
  <c r="I14" i="5" l="1"/>
  <c r="N113" i="4"/>
  <c r="K53" i="1"/>
  <c r="O51" i="1" s="1"/>
  <c r="C16" i="5"/>
  <c r="G43" i="1"/>
  <c r="N41" i="1" s="1"/>
  <c r="G39" i="2"/>
  <c r="I39" i="1" s="1"/>
  <c r="C13" i="5" s="1"/>
  <c r="G13" i="5" s="1"/>
  <c r="H13" i="5" s="1"/>
  <c r="I13" i="5" s="1"/>
  <c r="G16" i="5" l="1"/>
  <c r="H16" i="5" s="1"/>
  <c r="N38" i="1"/>
  <c r="G42" i="2"/>
  <c r="I16" i="5" l="1"/>
  <c r="I67" i="4"/>
  <c r="B67" i="4"/>
  <c r="F4" i="4"/>
  <c r="J12" i="4"/>
  <c r="C12" i="4"/>
  <c r="C13" i="4"/>
  <c r="B22" i="4" s="1"/>
  <c r="E13" i="4"/>
  <c r="J13" i="4"/>
  <c r="N13" i="4" s="1"/>
  <c r="N16" i="4" s="1"/>
  <c r="A18" i="1"/>
  <c r="A23" i="1"/>
  <c r="B23" i="1" s="1"/>
  <c r="N58" i="4"/>
  <c r="G58" i="4"/>
  <c r="G57" i="4"/>
  <c r="G86" i="4"/>
  <c r="G85" i="4"/>
  <c r="N62" i="4"/>
  <c r="G62" i="4"/>
  <c r="G61" i="4" l="1"/>
  <c r="N57" i="4"/>
  <c r="N61" i="4" s="1"/>
  <c r="N94" i="4"/>
  <c r="G94" i="4"/>
  <c r="C9" i="5"/>
  <c r="G9" i="5" s="1"/>
  <c r="H9" i="5" s="1"/>
  <c r="I9" i="5" s="1"/>
  <c r="J43" i="1"/>
  <c r="H43" i="1"/>
  <c r="I43" i="1"/>
  <c r="I6" i="2"/>
  <c r="I7" i="2"/>
  <c r="I8" i="2"/>
  <c r="B7" i="2"/>
  <c r="B8" i="2"/>
  <c r="B4" i="2"/>
  <c r="I5" i="2"/>
  <c r="C6" i="5" l="1"/>
  <c r="C7" i="5" s="1"/>
  <c r="G7" i="5" s="1"/>
  <c r="H7" i="5" s="1"/>
  <c r="A9" i="2"/>
  <c r="P41" i="1"/>
  <c r="P38" i="1"/>
  <c r="O41" i="1"/>
  <c r="O38" i="1"/>
  <c r="Q41" i="1"/>
  <c r="Q38" i="1"/>
  <c r="F29" i="1"/>
  <c r="G44" i="1"/>
  <c r="H11" i="2"/>
  <c r="H19" i="2"/>
  <c r="F31" i="1" s="1"/>
  <c r="H9" i="2"/>
  <c r="A11" i="2"/>
  <c r="B6" i="2"/>
  <c r="B5" i="2"/>
  <c r="E29" i="1" s="1"/>
  <c r="A19" i="1"/>
  <c r="G6" i="5" l="1"/>
  <c r="H6" i="5" s="1"/>
  <c r="I6" i="5" s="1"/>
  <c r="H104" i="2"/>
  <c r="G104" i="2" s="1"/>
  <c r="G109" i="2" s="1"/>
  <c r="G111" i="2" s="1"/>
  <c r="H92" i="2"/>
  <c r="G92" i="2" s="1"/>
  <c r="G98" i="2" s="1"/>
  <c r="G100" i="2" s="1"/>
  <c r="C92" i="2"/>
  <c r="B92" i="2" s="1"/>
  <c r="B98" i="2" s="1"/>
  <c r="B100" i="2" s="1"/>
  <c r="C103" i="2"/>
  <c r="B103" i="2" s="1"/>
  <c r="B109" i="2" s="1"/>
  <c r="B111" i="2" s="1"/>
  <c r="C89" i="2"/>
  <c r="C114" i="2"/>
  <c r="B114" i="2" s="1"/>
  <c r="B120" i="2" s="1"/>
  <c r="B122" i="2" s="1"/>
  <c r="I7" i="5"/>
  <c r="D18" i="3"/>
  <c r="C8" i="5" s="1"/>
  <c r="G13" i="4"/>
  <c r="G16" i="4" s="1"/>
  <c r="N68" i="4"/>
  <c r="H10" i="2"/>
  <c r="H12" i="2" s="1"/>
  <c r="A18" i="2"/>
  <c r="E30" i="1" s="1"/>
  <c r="A19" i="2"/>
  <c r="E31" i="1" s="1"/>
  <c r="C12" i="5" s="1"/>
  <c r="G12" i="5" s="1"/>
  <c r="H12" i="5" s="1"/>
  <c r="I12" i="5" s="1"/>
  <c r="H18" i="2"/>
  <c r="F30" i="1" s="1"/>
  <c r="A10" i="2"/>
  <c r="F28" i="1" l="1"/>
  <c r="F33" i="1" s="1"/>
  <c r="N63" i="4"/>
  <c r="H116" i="2"/>
  <c r="G116" i="2"/>
  <c r="J116" i="2"/>
  <c r="I116" i="2"/>
  <c r="C11" i="5"/>
  <c r="G11" i="5" s="1"/>
  <c r="H11" i="5" s="1"/>
  <c r="I11" i="5" s="1"/>
  <c r="G8" i="5"/>
  <c r="H8" i="5" s="1"/>
  <c r="I8" i="5" s="1"/>
  <c r="G68" i="4"/>
  <c r="N67" i="4"/>
  <c r="G67" i="4"/>
  <c r="A12" i="2"/>
  <c r="G63" i="4" s="1"/>
  <c r="N72" i="4" l="1"/>
  <c r="G72" i="4"/>
  <c r="E28" i="1"/>
  <c r="E33" i="1" s="1"/>
  <c r="F32" i="1"/>
  <c r="R28" i="1" s="1"/>
  <c r="C10" i="5" l="1"/>
  <c r="G10" i="5" s="1"/>
  <c r="H10" i="5" s="1"/>
  <c r="I10" i="5" s="1"/>
  <c r="E32" i="1"/>
  <c r="R27" i="1" s="1"/>
  <c r="P28" i="1"/>
  <c r="C28" i="5" l="1"/>
  <c r="G28" i="5" s="1"/>
  <c r="H28" i="5" s="1"/>
  <c r="I28" i="5" s="1"/>
  <c r="O28" i="1"/>
  <c r="C32" i="5" l="1"/>
  <c r="C33" i="5" l="1"/>
  <c r="G32" i="5" l="1"/>
  <c r="H32" i="5"/>
  <c r="I32" i="5" l="1"/>
  <c r="I34" i="5" s="1"/>
  <c r="H34" i="5" l="1"/>
  <c r="H53" i="1"/>
  <c r="H54" i="1" s="1"/>
  <c r="D47" i="3" l="1"/>
  <c r="O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7" authorId="0" shapeId="0" xr:uid="{2ADEA991-8EE3-4CA2-A5AE-34AD1487E0D6}">
      <text>
        <r>
          <rPr>
            <b/>
            <sz val="9"/>
            <color indexed="81"/>
            <rFont val="Tahoma"/>
            <family val="2"/>
          </rPr>
          <t>Autor:</t>
        </r>
        <r>
          <rPr>
            <sz val="9"/>
            <color indexed="81"/>
            <rFont val="Tahoma"/>
            <family val="2"/>
          </rPr>
          <t xml:space="preserve">
USD 150 X PRACTICO
</t>
        </r>
      </text>
    </comment>
    <comment ref="B8" authorId="0" shapeId="0" xr:uid="{70845756-8AC0-4DC1-AEA3-F6023147068D}">
      <text>
        <r>
          <rPr>
            <b/>
            <sz val="9"/>
            <color indexed="81"/>
            <rFont val="Tahoma"/>
            <family val="2"/>
          </rPr>
          <t>Autor:</t>
        </r>
        <r>
          <rPr>
            <sz val="9"/>
            <color indexed="81"/>
            <rFont val="Tahoma"/>
            <family val="2"/>
          </rPr>
          <t xml:space="preserve">
COEF*14
</t>
        </r>
      </text>
    </comment>
  </commentList>
</comment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<sst xmlns="http://schemas.openxmlformats.org/spreadsheetml/2006/main" count="580" uniqueCount="367">
  <si>
    <t>CLIENTE :</t>
  </si>
  <si>
    <t>BUQUE :</t>
  </si>
  <si>
    <t>UP RIVER</t>
  </si>
  <si>
    <t>PUERTO</t>
  </si>
  <si>
    <t>TERMINAL</t>
  </si>
  <si>
    <t>CF</t>
  </si>
  <si>
    <t>TRN</t>
  </si>
  <si>
    <t>ENTRADA</t>
  </si>
  <si>
    <t>SALIDA</t>
  </si>
  <si>
    <t>PORT DUES</t>
  </si>
  <si>
    <t>DIAS</t>
  </si>
  <si>
    <t>RIVER PLATE</t>
  </si>
  <si>
    <t>Pilotos</t>
  </si>
  <si>
    <t>Calado</t>
  </si>
  <si>
    <t>Demora hs</t>
  </si>
  <si>
    <t>Fondeos</t>
  </si>
  <si>
    <t>UNIDAD FISCAL</t>
  </si>
  <si>
    <t>CF*UF</t>
  </si>
  <si>
    <t>tarifa básica</t>
  </si>
  <si>
    <t>recorrido</t>
  </si>
  <si>
    <t>ADIC CALADO</t>
  </si>
  <si>
    <t>traslado</t>
  </si>
  <si>
    <t>estadía</t>
  </si>
  <si>
    <t>Guardia pasiva</t>
  </si>
  <si>
    <t>Costo operativo</t>
  </si>
  <si>
    <t>lancha ZC</t>
  </si>
  <si>
    <t>fondeo</t>
  </si>
  <si>
    <t xml:space="preserve">Demora </t>
  </si>
  <si>
    <t>RIPLA</t>
  </si>
  <si>
    <t>VESSEL</t>
  </si>
  <si>
    <t>PORT</t>
  </si>
  <si>
    <t>BERTH</t>
  </si>
  <si>
    <t>PERMANENCY</t>
  </si>
  <si>
    <t>CURRENCY</t>
  </si>
  <si>
    <t>USD</t>
  </si>
  <si>
    <t xml:space="preserve">ITEM </t>
  </si>
  <si>
    <t>AMOUNT</t>
  </si>
  <si>
    <t>Port dues</t>
  </si>
  <si>
    <t>Entrance and light dues</t>
  </si>
  <si>
    <t>Toll dues</t>
  </si>
  <si>
    <t>River plate pilotage</t>
  </si>
  <si>
    <t>River plate pilotage anchorage maneuver</t>
  </si>
  <si>
    <t>River parana pilotage</t>
  </si>
  <si>
    <t>Port pilotage</t>
  </si>
  <si>
    <t>Launch services for clearence at roads</t>
  </si>
  <si>
    <t>Mooring &amp; unmooring services</t>
  </si>
  <si>
    <t>Custom house expenses</t>
  </si>
  <si>
    <t>Migration expenses</t>
  </si>
  <si>
    <t>Sanitary dues and free practique</t>
  </si>
  <si>
    <t>Garbage compulsory inspection</t>
  </si>
  <si>
    <t>Mandatory holds inspection at roads</t>
  </si>
  <si>
    <t>Headclerk compulsory services</t>
  </si>
  <si>
    <t>Agency fee</t>
  </si>
  <si>
    <t>TOTAL</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</si>
  <si>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</si>
  <si>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</si>
  <si>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</si>
  <si>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</si>
  <si>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</si>
  <si>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</si>
  <si>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COFCO TERMINAL  - SAN LORENZO PORT</t>
  </si>
  <si>
    <t>TOTAL USD</t>
  </si>
  <si>
    <t>FROM 0.0 SECTOR TO 1.1  (from Recalada to Zona Comun )</t>
  </si>
  <si>
    <t>COEFFICIENT RESULTS FROM (Mx dft– 15)/Mx dft</t>
  </si>
  <si>
    <t xml:space="preserve">SUBTOTAL USD </t>
  </si>
  <si>
    <t>FROM 1.1 SECTOR TO 1.2  (from Zona Comun to Parana Guazu ) CARP INVOICE</t>
  </si>
  <si>
    <t>BT = 3,06 * NRT * 3.8%</t>
  </si>
  <si>
    <t>DT =  3,06 * NRT * 17,06% *</t>
  </si>
  <si>
    <t xml:space="preserve">Pilotage - River Plate Pilotage </t>
  </si>
  <si>
    <t>Pilotage from Recalada to Zona Comun</t>
  </si>
  <si>
    <t>Pilotage from  Zona Comun to Recalada</t>
  </si>
  <si>
    <t>Fiscal Coeficient </t>
  </si>
  <si>
    <t>Ship's Draft </t>
  </si>
  <si>
    <t>Kilometers </t>
  </si>
  <si>
    <t>( usd 8 * Vessel's Fiscal Coefficient * 2 pilots)         </t>
  </si>
  <si>
    <t>( usd 12 * Nbr km travelled * 2 pilots  )</t>
  </si>
  <si>
    <t>% Exceeding draft </t>
  </si>
  <si>
    <t>Anchorage maneuver( Vessel's Fiscal Coefficient * 14)</t>
  </si>
  <si>
    <t>Connected services ( Transportation + Pilots boats )</t>
  </si>
  <si>
    <t xml:space="preserve">Pilotage - River Parana Pilotage </t>
  </si>
  <si>
    <t>( usd 8 * Vessel's Fiscal Coefficient )         </t>
  </si>
  <si>
    <t>( usd 12 * Nbr km travelled )</t>
  </si>
  <si>
    <t xml:space="preserve">Pilotage - Port Pilotage </t>
  </si>
  <si>
    <t>( usd 14 * Vessel's Fiscal Coefficient )         </t>
  </si>
  <si>
    <t>Connected services ( Transportation + Pilot boat )</t>
  </si>
  <si>
    <t>Anchorage maneuver</t>
  </si>
  <si>
    <t>Delay</t>
  </si>
  <si>
    <t>Pilotage inward from road to San Lorenzo</t>
  </si>
  <si>
    <t>Pilotage inward from San Lorenzo to road</t>
  </si>
  <si>
    <t>Mooring &amp; Unmooring</t>
  </si>
  <si>
    <t>Due to:</t>
  </si>
  <si>
    <t>Razones fondeos/demoras:</t>
  </si>
  <si>
    <t>Inward clearance granted by Port Authorities.</t>
  </si>
  <si>
    <t>Bunker operation in Zona comun</t>
  </si>
  <si>
    <t>Dense fog</t>
  </si>
  <si>
    <t>Awaiting free beth</t>
  </si>
  <si>
    <t>Awaiting authorization</t>
  </si>
  <si>
    <t>Load delay</t>
  </si>
  <si>
    <t>RIVER PARANA</t>
  </si>
  <si>
    <t>MOV</t>
  </si>
  <si>
    <t xml:space="preserve">Distancia </t>
  </si>
  <si>
    <t>PARANA</t>
  </si>
  <si>
    <t>Entrance And Light Dues</t>
  </si>
  <si>
    <t>River plate pilotage (delay)</t>
  </si>
  <si>
    <t xml:space="preserve"> TRN *0,058*1,2</t>
  </si>
  <si>
    <t xml:space="preserve"> TRN*0,37* </t>
  </si>
  <si>
    <t>XXX</t>
  </si>
  <si>
    <t>Channel traffic</t>
  </si>
  <si>
    <t>Weather conditions</t>
  </si>
  <si>
    <t>Ship's Draft Outbound</t>
  </si>
  <si>
    <t>Ship's Draft Inbound</t>
  </si>
  <si>
    <t>Vessel's Fiscal Coefficient</t>
  </si>
  <si>
    <t>Max Draft</t>
  </si>
  <si>
    <t>Coefficient Results</t>
  </si>
  <si>
    <t>Operate in Timbues Ports</t>
  </si>
  <si>
    <t xml:space="preserve">Yes </t>
  </si>
  <si>
    <t>No</t>
  </si>
  <si>
    <t>FROM 1.2 SECTOR TO 1.3 (from Rio Parana Guazu to San Lorenzo ) </t>
  </si>
  <si>
    <t>FROM 1.3 SECTOR TO 2.0 (from San Lorenzo /to Timbues) </t>
  </si>
  <si>
    <t>FROM 2.0 SECTOR TO 1.3 (from Timbues / to RPP km 460) </t>
  </si>
  <si>
    <t>FROM 1.3 SECTOR TO 0.0  (from San Lorenzo/ Rosario to Recalada) </t>
  </si>
  <si>
    <t>Distancia</t>
  </si>
  <si>
    <t xml:space="preserve">Calado extra </t>
  </si>
  <si>
    <t>Demora</t>
  </si>
  <si>
    <t>Fondeo</t>
  </si>
  <si>
    <t>Recorrido * Prácticos</t>
  </si>
  <si>
    <t>Unidad física</t>
  </si>
  <si>
    <t>Exceso de calado</t>
  </si>
  <si>
    <t>Conexos (Lanchas)</t>
  </si>
  <si>
    <t>Transporte Adicional</t>
  </si>
  <si>
    <t>CALADO</t>
  </si>
  <si>
    <t>River parana pilotage (delay)</t>
  </si>
  <si>
    <t>River parana pilotage anchorage maneuver</t>
  </si>
  <si>
    <t>PORT PILOTS</t>
  </si>
  <si>
    <t>SERV</t>
  </si>
  <si>
    <t>DEMORA</t>
  </si>
  <si>
    <t>REC/EXTRA</t>
  </si>
  <si>
    <t>RECC EXTRA</t>
  </si>
  <si>
    <t>CONEXO</t>
  </si>
  <si>
    <t>SHIFT</t>
  </si>
  <si>
    <t>Buque que zarpa desde Timbúes                     y se va aguas abajo:</t>
  </si>
  <si>
    <t>Dist pond</t>
  </si>
  <si>
    <t>Buque que zarpa desde Timbúes y fondea en Rada Sur o maniobra en ZMS</t>
  </si>
  <si>
    <t>Amarre desde rada Sur, amarre directo o rada Borghi:</t>
  </si>
  <si>
    <t>Para calcular el costo del pilotaje, sírvase colocar el Cf del buque en la celda con fondo amarillo:</t>
  </si>
  <si>
    <r>
      <rPr>
        <b/>
        <sz val="11"/>
        <color indexed="8"/>
        <rFont val="Calibri"/>
        <family val="2"/>
      </rPr>
      <t>C</t>
    </r>
    <r>
      <rPr>
        <sz val="11"/>
        <color theme="1"/>
        <rFont val="Aptos Narrow"/>
        <family val="2"/>
        <scheme val="minor"/>
      </rPr>
      <t xml:space="preserve">oef </t>
    </r>
    <r>
      <rPr>
        <b/>
        <sz val="11"/>
        <color indexed="8"/>
        <rFont val="Calibri"/>
        <family val="2"/>
      </rPr>
      <t>F</t>
    </r>
    <r>
      <rPr>
        <sz val="11"/>
        <color theme="1"/>
        <rFont val="Aptos Narrow"/>
        <family val="2"/>
        <scheme val="minor"/>
      </rPr>
      <t>iscal:</t>
    </r>
  </si>
  <si>
    <t>PILOTAJE TIMBUES</t>
  </si>
  <si>
    <t>Dist pond 20 km</t>
  </si>
  <si>
    <t>Dist pond 27 Km</t>
  </si>
  <si>
    <t>Amarre desde radas Secundaria, Auxiliar ó Reserva a:  Unidad 6 y 7, TPR, Galpones</t>
  </si>
  <si>
    <t>Zarpando desde muelles: Unidad 6 y 7 ; Muelle Nuevo TPR, Galpones:</t>
  </si>
  <si>
    <t>Pilotage from Zona Comun to San Lorenzo</t>
  </si>
  <si>
    <t>Pilotage from San Lorenzo to Zona Comun</t>
  </si>
  <si>
    <t>Calado extra</t>
  </si>
  <si>
    <t xml:space="preserve">Anchorage maneuver </t>
  </si>
  <si>
    <t xml:space="preserve"> DISCOUNT</t>
  </si>
  <si>
    <t>NOTAS DE CREDITO</t>
  </si>
  <si>
    <t xml:space="preserve">SI ES CANAL ROJO 17% </t>
  </si>
  <si>
    <t>SI ES CANAL ROJO 15% (VER) / COFCO ARMADOR multipar/ river 13% cofco</t>
  </si>
  <si>
    <t>SI EL BUQUE ES COFCO NCI:</t>
  </si>
  <si>
    <t>Entrada</t>
  </si>
  <si>
    <t>Shift</t>
  </si>
  <si>
    <t>Salida</t>
  </si>
  <si>
    <t>PILOTAJE</t>
  </si>
  <si>
    <t>PILOTAJE ROSARIO</t>
  </si>
  <si>
    <t>ZARATE</t>
  </si>
  <si>
    <t>SAN PEDRO</t>
  </si>
  <si>
    <t>RAMALLO</t>
  </si>
  <si>
    <t>SAN NICOLAS</t>
  </si>
  <si>
    <t>VILLA CONSTITUCION</t>
  </si>
  <si>
    <t>ROSARIO</t>
  </si>
  <si>
    <t>SAN LORENZO</t>
  </si>
  <si>
    <t>CARBOCLOR</t>
  </si>
  <si>
    <t>MARIPASA</t>
  </si>
  <si>
    <t>SIDERCA</t>
  </si>
  <si>
    <t>DELTA DOCK</t>
  </si>
  <si>
    <t>BUNGE</t>
  </si>
  <si>
    <t>SIDERAR</t>
  </si>
  <si>
    <t>PUERTO NUEVO</t>
  </si>
  <si>
    <t>DREYFUS</t>
  </si>
  <si>
    <t>CARGILL</t>
  </si>
  <si>
    <t>TPR</t>
  </si>
  <si>
    <t>VICENTIN</t>
  </si>
  <si>
    <t>PAMPA</t>
  </si>
  <si>
    <t>DEMPA</t>
  </si>
  <si>
    <t>COFCO PGSM</t>
  </si>
  <si>
    <t>ARAUCO</t>
  </si>
  <si>
    <t>COFCO TIMBUES</t>
  </si>
  <si>
    <t>RENOVA</t>
  </si>
  <si>
    <t>MINERA ALUMBRERA</t>
  </si>
  <si>
    <t>XXXX</t>
  </si>
  <si>
    <t>XX</t>
  </si>
  <si>
    <t>AXLE MARINE SINGAPURE</t>
  </si>
  <si>
    <t>BALKAN AND BLACK SEA</t>
  </si>
  <si>
    <t>BALTNAV</t>
  </si>
  <si>
    <t>BERGE</t>
  </si>
  <si>
    <t>BOLTEN</t>
  </si>
  <si>
    <t>CANAL ROJO</t>
  </si>
  <si>
    <t>CEFETRA SPA</t>
  </si>
  <si>
    <t>CJ ASIA</t>
  </si>
  <si>
    <t>CJ ITALY</t>
  </si>
  <si>
    <t>CLEARLAKE - GUNVOR</t>
  </si>
  <si>
    <t>CLIPPER</t>
  </si>
  <si>
    <t>COFCO ARGENTINA</t>
  </si>
  <si>
    <t>CORNHILL - PAN OCEAN</t>
  </si>
  <si>
    <t>COSCO ARGENTINA</t>
  </si>
  <si>
    <t>D AMICO</t>
  </si>
  <si>
    <t>FAIRFIELD</t>
  </si>
  <si>
    <t>FEDNAV</t>
  </si>
  <si>
    <t>GENCO SHIPPING</t>
  </si>
  <si>
    <t>HAFNIA</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</si>
  <si>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</si>
  <si>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</si>
  <si>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</si>
  <si>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</si>
  <si>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</si>
  <si>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</si>
  <si>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</si>
  <si>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</si>
  <si>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</si>
  <si>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</si>
  <si>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</si>
  <si>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</si>
  <si>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</si>
  <si>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</si>
  <si>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</si>
  <si>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</si>
  <si>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</si>
  <si>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</si>
  <si>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</si>
  <si>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</si>
  <si>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</si>
  <si>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</si>
  <si>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</si>
  <si>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</si>
  <si>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</si>
  <si>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</si>
  <si>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</si>
  <si>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</si>
  <si>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</si>
  <si>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</si>
  <si>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</si>
  <si>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</si>
  <si>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</si>
  <si>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Lanchas de Glatil + CARP NO FORMAN PARTE DEL DESCUENTO</t>
  </si>
  <si>
    <t>ROE CCL</t>
  </si>
  <si>
    <t>ROE OFFICIAL</t>
  </si>
  <si>
    <t>ROE AGP</t>
  </si>
  <si>
    <t>*Billete vendedor</t>
  </si>
  <si>
    <t>ITEMS</t>
  </si>
  <si>
    <t>MONTOS NETO</t>
  </si>
  <si>
    <t>MONTOS BRUTOS</t>
  </si>
  <si>
    <t>ROE</t>
  </si>
  <si>
    <t>%</t>
  </si>
  <si>
    <t>ER DIFFERENTIAL</t>
  </si>
  <si>
    <t>ISA COMMISION</t>
  </si>
  <si>
    <t>NET PDA</t>
  </si>
  <si>
    <t>RIVER PLATE PILOTAGE</t>
  </si>
  <si>
    <t>RIVER PLATE PILOTAGE (DELAY)</t>
  </si>
  <si>
    <t>RIVER PLATE PILOTAGE ANCHORAGE MANEUVER</t>
  </si>
  <si>
    <t>RIVER PARANA PILOTAGE</t>
  </si>
  <si>
    <t>RIVER PARANA PILOTAGE (DELAY)</t>
  </si>
  <si>
    <t>RIVER PARANA PILOTAGE ANCHORAGE MANEUVER</t>
  </si>
  <si>
    <t>PORT PILOTAGE</t>
  </si>
  <si>
    <t>TAX ON CREDIT/DEBIT LAW 25.413</t>
  </si>
  <si>
    <t>TOLL DUES</t>
  </si>
  <si>
    <t>ENTRANCE AND LIGHT DUES</t>
  </si>
  <si>
    <t>LAUNCH SERVICES</t>
  </si>
  <si>
    <t>MOORING EXPENSES</t>
  </si>
  <si>
    <t>CUSTOM HOUSE EXPENSES</t>
  </si>
  <si>
    <t>MIGRATION EXPENSES</t>
  </si>
  <si>
    <t>SANITARY DUES</t>
  </si>
  <si>
    <t>GARBAGE COMPULSORY INSPECTION</t>
  </si>
  <si>
    <t>WATCHMEN COMPULSORY SERVICES</t>
  </si>
  <si>
    <t>HEADCLERK COMPULSORY SERVICES</t>
  </si>
  <si>
    <t>MISCELLANEOUS</t>
  </si>
  <si>
    <t>TOLL DUES (CARP)</t>
  </si>
  <si>
    <t xml:space="preserve">PILOT LAUNCH TRANSPORTATION RIVER PLATE </t>
  </si>
  <si>
    <t xml:space="preserve">TOTAL  </t>
  </si>
  <si>
    <t>Total sin considerar Carp + Glatil</t>
  </si>
  <si>
    <t>NC RESULTANTE</t>
  </si>
  <si>
    <t xml:space="preserve">Exchange rate differential </t>
  </si>
  <si>
    <t>A partir de 18/6</t>
  </si>
  <si>
    <t>AGD TIMBUES</t>
  </si>
  <si>
    <t>CORPI</t>
  </si>
  <si>
    <t>Puerto</t>
  </si>
  <si>
    <t>Terminal</t>
  </si>
  <si>
    <t>Carga</t>
  </si>
  <si>
    <t>Terminales a las que aplica</t>
  </si>
  <si>
    <t>Mov?</t>
  </si>
  <si>
    <t>Lima</t>
  </si>
  <si>
    <t xml:space="preserve">Zarate </t>
  </si>
  <si>
    <t>San Lorenzo</t>
  </si>
  <si>
    <t>Giro</t>
  </si>
  <si>
    <t>Entrada / Salida</t>
  </si>
  <si>
    <t>San Nicolas</t>
  </si>
  <si>
    <t>Lancha adicional</t>
  </si>
  <si>
    <t>Ramallo</t>
  </si>
  <si>
    <t>Conexos</t>
  </si>
  <si>
    <t>Villa Constitución</t>
  </si>
  <si>
    <t>General Lagos</t>
  </si>
  <si>
    <t>Alvear</t>
  </si>
  <si>
    <t>VGG</t>
  </si>
  <si>
    <t>FAC</t>
  </si>
  <si>
    <t>*Agregar calado</t>
  </si>
  <si>
    <t>Rosario</t>
  </si>
  <si>
    <t>FAC 2</t>
  </si>
  <si>
    <t>San Martín</t>
  </si>
  <si>
    <t>N/C</t>
  </si>
  <si>
    <t>Ibicuy/ Guazú/ Escobar</t>
  </si>
  <si>
    <t>Las Palmas</t>
  </si>
  <si>
    <t>Cancelación: u$s 910 más servicios conexos correspondientes a cada puerto.</t>
  </si>
  <si>
    <t>Solo iguazu</t>
  </si>
  <si>
    <t>Puerto Campana</t>
  </si>
  <si>
    <t>Adicional Calado</t>
  </si>
  <si>
    <t>CLIENTE</t>
  </si>
  <si>
    <t>Elegir Proveedor</t>
  </si>
  <si>
    <t>INDEPENDIENTE</t>
  </si>
  <si>
    <t>Iguazu 8%</t>
  </si>
  <si>
    <t>Pilotage</t>
  </si>
  <si>
    <t>ADM</t>
  </si>
  <si>
    <t>ARROYO SECO</t>
  </si>
  <si>
    <t>NUEVA PALMIRA</t>
  </si>
  <si>
    <t>AL GHURAIR</t>
  </si>
  <si>
    <t>TERMINAL 6</t>
  </si>
  <si>
    <t>BT = 4.30*NRT*2.61%</t>
  </si>
  <si>
    <t>BT = 4.30*NRT*0,35%</t>
  </si>
  <si>
    <t>DT =  4.30 * NRT * 44.44%*</t>
  </si>
  <si>
    <t xml:space="preserve">DT = 4.30*  NRT* 5,36%* </t>
  </si>
  <si>
    <t>BT = 4.30*NRT*1,96%</t>
  </si>
  <si>
    <t>BT = 4.30* NRT*8.37%</t>
  </si>
  <si>
    <t xml:space="preserve">DT =4.30*  NRT*38.5%* </t>
  </si>
  <si>
    <t>DT = 4.30* NRT *100%*</t>
  </si>
  <si>
    <t>ATHENAI</t>
  </si>
  <si>
    <t>GRAL. LAGOS</t>
  </si>
  <si>
    <t>WOMAR</t>
  </si>
  <si>
    <t>ORIENT SHIPPING ROTTERDAM B.V</t>
  </si>
  <si>
    <t>CAMPANA</t>
  </si>
  <si>
    <t>CENTURION BULK</t>
  </si>
  <si>
    <t>SAN BENITO</t>
  </si>
  <si>
    <t>Initial</t>
  </si>
  <si>
    <t>Close to Real</t>
  </si>
  <si>
    <t>PORT PILOTAGE DELAY</t>
  </si>
  <si>
    <t>Comentarios:</t>
  </si>
  <si>
    <t>MANDATORY HOLDS INSPECTION AT ROADS</t>
  </si>
  <si>
    <t>DRYDEL SHIPPING</t>
  </si>
  <si>
    <t>NARVAL CHARTERING</t>
  </si>
  <si>
    <t>PISTI</t>
  </si>
  <si>
    <t>GRAL LAGOS</t>
  </si>
  <si>
    <t>ARROYO SECO - ADM</t>
  </si>
  <si>
    <t>2 days</t>
  </si>
  <si>
    <t>From 23-02-26 to 24-02-26</t>
  </si>
  <si>
    <t>Custom house Permanence</t>
  </si>
  <si>
    <t>Pest control</t>
  </si>
  <si>
    <t>Inicial base a otras medidas</t>
  </si>
  <si>
    <t>Paraná entra con Fondeo</t>
  </si>
  <si>
    <t>Paraná sale con Fondeo en ZC por fuertes vientos y 2,5hs de demora</t>
  </si>
  <si>
    <t>Port entra con Zarpada de rada</t>
  </si>
  <si>
    <t>Plate sale con Virado de anclas y 6hs de demora</t>
  </si>
  <si>
    <t>Launch services for holds re-inspection (Owner expenses)</t>
  </si>
  <si>
    <t>Mandatory holds re-inspection at roads (Owner expenses)</t>
  </si>
  <si>
    <t>Holds cleaning expenses (Owner expenses)</t>
  </si>
  <si>
    <t>Wash water expenses (Owner expenses)</t>
  </si>
  <si>
    <t>Launch services for draft survey (3)</t>
  </si>
  <si>
    <t>Completa en Bahia Blanca</t>
  </si>
  <si>
    <t>Draft survey</t>
  </si>
  <si>
    <t>Full on hire BQS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</si>
</sst>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0.0000"/>
    <numFmt numFmtId="166" formatCode="_-[$USD]\ * #,##0.00_-;\-[$USD]\ * #,##0.00_-;_-[$USD]\ * &quot;-&quot;??_-;_-@_-"/>
    <numFmt numFmtId="167" formatCode="0.0%"/>
  </numFmts>
  <fonts count="49"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b/>
      <sz val="12"/>
      <color theme="0"/>
      <name val="Franklin Gothic Book"/>
      <family val="2"/>
    </font>
    <font>
      <sz val="11"/>
      <color theme="1"/>
      <name val="Franklin Gothic Book"/>
      <family val="2"/>
    </font>
    <font>
      <sz val="12"/>
      <color theme="3"/>
      <name val="Bell MT"/>
      <family val="1"/>
    </font>
    <font>
      <sz val="12"/>
      <color rgb="FFFF0000"/>
      <name val="Bell MT"/>
      <family val="1"/>
    </font>
    <font>
      <b/>
      <sz val="9"/>
      <color indexed="81"/>
      <name val="Tahoma"/>
      <family val="2"/>
    </font>
    <font>
      <sz val="9"/>
      <color indexed="81"/>
      <name val="Tahoma"/>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color theme="1"/>
      <name val="Calibri"/>
      <family val="2"/>
    </font>
    <font>
      <sz val="10"/>
      <color theme="1"/>
      <name val="Times New Roman"/>
      <family val="1"/>
    </font>
    <font>
      <sz val="11"/>
      <color rgb="FF000000"/>
      <name val="Calibri"/>
      <family val="2"/>
    </font>
    <font>
      <b/>
      <sz val="12"/>
      <name val="Franklin Gothic Book"/>
      <family val="2"/>
    </font>
    <font>
      <sz val="11"/>
      <name val="Aptos Narrow"/>
      <family val="2"/>
      <scheme val="minor"/>
    </font>
    <font>
      <b/>
      <sz val="11"/>
      <color theme="1"/>
      <name val="Franklin Gothic Book"/>
      <family val="2"/>
    </font>
    <font>
      <sz val="11"/>
      <color rgb="FFFF0000"/>
      <name val="Franklin Gothic Book"/>
      <family val="2"/>
    </font>
    <font>
      <b/>
      <sz val="11"/>
      <name val="Aptos Narrow"/>
      <family val="2"/>
      <scheme val="minor"/>
    </font>
    <font>
      <b/>
      <sz val="11"/>
      <color rgb="FFFF0000"/>
      <name val="Aptos Narrow"/>
      <family val="2"/>
      <scheme val="minor"/>
    </font>
    <font>
      <b/>
      <sz val="11"/>
      <color indexed="8"/>
      <name val="Calibri"/>
      <family val="2"/>
    </font>
    <font>
      <b/>
      <sz val="14"/>
      <color rgb="FFFF0000"/>
      <name val="Arial"/>
      <family val="2"/>
    </font>
    <font>
      <sz val="9"/>
      <name val="Arial"/>
      <family val="2"/>
    </font>
    <font>
      <b/>
      <sz val="9"/>
      <name val="Arial"/>
      <family val="2"/>
    </font>
    <font>
      <sz val="11"/>
      <color rgb="FFFF0000"/>
      <name val="Aptos Narrow"/>
      <family val="2"/>
      <scheme val="minor"/>
    </font>
    <font>
      <i/>
      <sz val="11"/>
      <color theme="1"/>
      <name val="Aptos Narrow"/>
      <family val="2"/>
      <scheme val="minor"/>
    </font>
    <font>
      <sz val="11"/>
      <color theme="7" tint="-0.249977111117893"/>
      <name val="Aptos Narrow"/>
      <family val="2"/>
      <scheme val="minor"/>
    </font>
    <font>
      <sz val="11"/>
      <color theme="8" tint="-0.249977111117893"/>
      <name val="Aptos Narrow"/>
      <family val="2"/>
      <scheme val="minor"/>
    </font>
    <font>
      <i/>
      <sz val="10"/>
      <color theme="1"/>
      <name val="Aptos Narrow"/>
      <family val="2"/>
      <scheme val="minor"/>
    </font>
    <font>
      <sz val="11"/>
      <color theme="0"/>
      <name val="Aptos Narrow"/>
      <family val="2"/>
      <scheme val="minor"/>
    </font>
    <font>
      <b/>
      <sz val="10"/>
      <color theme="1"/>
      <name val="Arial"/>
      <family val="2"/>
    </font>
    <font>
      <b/>
      <sz val="15"/>
      <color theme="0"/>
      <name val="Franklin Gothic Medium Cond"/>
      <family val="2"/>
    </font>
    <font>
      <sz val="12"/>
      <color theme="1"/>
      <name val="Bell MT"/>
      <family val="1"/>
    </font>
    <font>
      <b/>
      <sz val="12"/>
      <color theme="1"/>
      <name val="Bell MT"/>
      <family val="1"/>
    </font>
    <font>
      <b/>
      <sz val="12"/>
      <color theme="3"/>
      <name val="Bell MT"/>
      <family val="1"/>
    </font>
    <font>
      <b/>
      <sz val="11"/>
      <color theme="1"/>
      <name val="Arial"/>
      <family val="2"/>
    </font>
    <font>
      <sz val="11"/>
      <color theme="1"/>
      <name val="Arial"/>
      <family val="2"/>
    </font>
    <font>
      <sz val="12"/>
      <name val="Arial"/>
      <family val="2"/>
    </font>
    <font>
      <sz val="11"/>
      <color theme="4"/>
      <name val="Aptos Narrow"/>
      <family val="2"/>
      <scheme val="minor"/>
    </font>
  </fonts>
  <fills count="27">
    <fill>
      <patternFill patternType="none"/>
    </fill>
    <fill>
      <patternFill patternType="gray125"/>
    </fill>
    <fill>
      <patternFill patternType="solid">
        <fgColor theme="9" tint="0.59999389629810485"/>
        <bgColor indexed="64"/>
      </patternFill>
    </fill>
    <fill>
      <patternFill patternType="solid">
        <fgColor theme="3" tint="0.39997558519241921"/>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0.74999237037263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ck">
        <color theme="4" tint="-0.249977111117893"/>
      </right>
      <top style="medium">
        <color indexed="64"/>
      </top>
      <bottom style="thick">
        <color theme="4" tint="-0.249977111117893"/>
      </bottom>
      <diagonal/>
    </border>
    <border>
      <left/>
      <right/>
      <top style="medium">
        <color indexed="64"/>
      </top>
      <bottom/>
      <diagonal/>
    </border>
    <border>
      <left style="medium">
        <color indexed="64"/>
      </left>
      <right/>
      <top/>
      <bottom/>
      <diagonal/>
    </border>
    <border>
      <left/>
      <right style="thick">
        <color theme="4" tint="-0.249977111117893"/>
      </right>
      <top style="thick">
        <color theme="4" tint="-0.249977111117893"/>
      </top>
      <bottom style="thick">
        <color theme="4" tint="-0.249977111117893"/>
      </bottom>
      <diagonal/>
    </border>
    <border>
      <left/>
      <right style="medium">
        <color indexed="64"/>
      </right>
      <top/>
      <bottom/>
      <diagonal/>
    </border>
    <border>
      <left style="medium">
        <color indexed="64"/>
      </left>
      <right/>
      <top style="medium">
        <color indexed="64"/>
      </top>
      <bottom style="thick">
        <color theme="4" tint="-0.249977111117893"/>
      </bottom>
      <diagonal/>
    </border>
    <border>
      <left style="medium">
        <color indexed="64"/>
      </left>
      <right/>
      <top style="thick">
        <color theme="4" tint="-0.249977111117893"/>
      </top>
      <bottom style="thick">
        <color theme="4" tint="-0.249977111117893"/>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8"/>
      </right>
      <top style="medium">
        <color indexed="64"/>
      </top>
      <bottom/>
      <diagonal/>
    </border>
    <border>
      <left style="medium">
        <color indexed="8"/>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medium">
        <color indexed="64"/>
      </left>
      <right style="thin">
        <color indexed="8"/>
      </right>
      <top/>
      <bottom/>
      <diagonal/>
    </border>
    <border>
      <left style="medium">
        <color indexed="64"/>
      </left>
      <right style="medium">
        <color indexed="64"/>
      </right>
      <top/>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s>
  <cellStyleXfs count="2">
    <xf numFmtId="0" fontId="0" fillId="0" borderId="0"/>
    <xf numFmtId="0" fontId="2" fillId="0" borderId="0"/>
  </cellStyleXfs>
  <cellXfs count="281">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0" fillId="4" borderId="0" xfId="0" applyFill="1"/>
    <xf numFmtId="0" fontId="6" fillId="5" borderId="6" xfId="0" applyFont="1" applyFill="1" applyBorder="1"/>
    <xf numFmtId="2" fontId="0" fillId="0" borderId="0" xfId="0" applyNumberFormat="1"/>
    <xf numFmtId="0" fontId="6" fillId="5" borderId="7" xfId="0" applyFont="1" applyFill="1" applyBorder="1"/>
    <xf numFmtId="0" fontId="6" fillId="5" borderId="8" xfId="0" applyFont="1" applyFill="1" applyBorder="1"/>
    <xf numFmtId="0" fontId="6" fillId="5" borderId="9" xfId="0" applyFont="1" applyFill="1" applyBorder="1"/>
    <xf numFmtId="0" fontId="6" fillId="5" borderId="10" xfId="0" applyFont="1" applyFill="1" applyBorder="1" applyAlignment="1">
      <alignment horizontal="right"/>
    </xf>
    <xf numFmtId="2" fontId="7" fillId="0" borderId="0" xfId="0" applyNumberFormat="1" applyFont="1"/>
    <xf numFmtId="0" fontId="8" fillId="0" borderId="0" xfId="0" applyFont="1" applyAlignment="1">
      <alignment horizontal="right"/>
    </xf>
    <xf numFmtId="0" fontId="9" fillId="0" borderId="0" xfId="0" applyFont="1" applyAlignment="1">
      <alignment horizontal="right"/>
    </xf>
    <xf numFmtId="0" fontId="2" fillId="0" borderId="5" xfId="1" applyBorder="1"/>
    <xf numFmtId="2" fontId="2" fillId="0" borderId="5" xfId="1" applyNumberFormat="1" applyBorder="1"/>
    <xf numFmtId="0" fontId="0" fillId="6" borderId="0" xfId="0" applyFill="1"/>
    <xf numFmtId="0" fontId="2" fillId="2" borderId="0" xfId="1" applyFill="1" applyAlignment="1">
      <alignment horizontal="center"/>
    </xf>
    <xf numFmtId="2" fontId="5" fillId="3" borderId="0" xfId="1" applyNumberFormat="1" applyFont="1" applyFill="1"/>
    <xf numFmtId="0" fontId="12" fillId="0" borderId="0" xfId="0" applyFont="1" applyAlignment="1">
      <alignment horizontal="center"/>
    </xf>
    <xf numFmtId="0" fontId="13" fillId="8" borderId="11" xfId="0" applyFont="1" applyFill="1" applyBorder="1" applyAlignment="1">
      <alignment horizontal="center"/>
    </xf>
    <xf numFmtId="0" fontId="14" fillId="9" borderId="12" xfId="0" applyFont="1" applyFill="1" applyBorder="1" applyAlignment="1">
      <alignment horizontal="center"/>
    </xf>
    <xf numFmtId="0" fontId="14" fillId="0" borderId="12" xfId="0" applyFont="1" applyBorder="1" applyAlignment="1">
      <alignment horizontal="left"/>
    </xf>
    <xf numFmtId="3" fontId="15" fillId="0" borderId="12" xfId="0" applyNumberFormat="1" applyFont="1" applyBorder="1" applyAlignment="1">
      <alignment horizontal="center"/>
    </xf>
    <xf numFmtId="0" fontId="13" fillId="10" borderId="11" xfId="0" applyFont="1" applyFill="1" applyBorder="1" applyAlignment="1">
      <alignment horizontal="right"/>
    </xf>
    <xf numFmtId="3" fontId="14" fillId="0" borderId="12" xfId="0" applyNumberFormat="1" applyFont="1" applyBorder="1" applyAlignment="1">
      <alignment horizontal="center"/>
    </xf>
    <xf numFmtId="2" fontId="14" fillId="9" borderId="12" xfId="0" applyNumberFormat="1" applyFont="1" applyFill="1" applyBorder="1" applyAlignment="1">
      <alignment horizontal="center"/>
    </xf>
    <xf numFmtId="0" fontId="18" fillId="0" borderId="0" xfId="0" applyFont="1" applyAlignment="1">
      <alignment vertical="center"/>
    </xf>
    <xf numFmtId="164" fontId="0" fillId="0" borderId="0" xfId="0" applyNumberFormat="1"/>
    <xf numFmtId="0" fontId="19" fillId="0" borderId="0" xfId="0" applyFont="1"/>
    <xf numFmtId="1" fontId="0" fillId="0" borderId="0" xfId="0" applyNumberFormat="1"/>
    <xf numFmtId="164" fontId="1" fillId="0" borderId="0" xfId="0" applyNumberFormat="1" applyFont="1"/>
    <xf numFmtId="164" fontId="19" fillId="0" borderId="0" xfId="0" applyNumberFormat="1" applyFont="1"/>
    <xf numFmtId="0" fontId="0" fillId="0" borderId="13" xfId="0" applyBorder="1"/>
    <xf numFmtId="0" fontId="20" fillId="0" borderId="0" xfId="0" applyFont="1" applyAlignment="1">
      <alignment vertical="center"/>
    </xf>
    <xf numFmtId="0" fontId="1" fillId="0" borderId="0" xfId="0" applyFont="1"/>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0" fontId="18" fillId="0" borderId="13" xfId="0" applyFont="1" applyBorder="1" applyAlignment="1">
      <alignment vertical="center"/>
    </xf>
    <xf numFmtId="0" fontId="1" fillId="0" borderId="0" xfId="0" applyFont="1" applyAlignment="1">
      <alignment vertical="center"/>
    </xf>
    <xf numFmtId="2" fontId="19" fillId="0" borderId="0" xfId="0" applyNumberFormat="1" applyFont="1"/>
    <xf numFmtId="0" fontId="21" fillId="0" borderId="0" xfId="0" applyFont="1" applyAlignment="1">
      <alignment vertical="center"/>
    </xf>
    <xf numFmtId="0" fontId="22" fillId="0" borderId="0" xfId="0" applyFont="1"/>
    <xf numFmtId="2" fontId="23" fillId="0" borderId="0" xfId="0" applyNumberFormat="1" applyFont="1" applyAlignment="1">
      <alignment horizontal="right" vertical="center"/>
    </xf>
    <xf numFmtId="2" fontId="23" fillId="0" borderId="0" xfId="0" applyNumberFormat="1" applyFont="1" applyAlignment="1">
      <alignment vertical="center"/>
    </xf>
    <xf numFmtId="2" fontId="22" fillId="0" borderId="0" xfId="0" applyNumberFormat="1" applyFont="1"/>
    <xf numFmtId="2" fontId="21" fillId="0" borderId="0" xfId="0" applyNumberFormat="1" applyFont="1" applyAlignment="1">
      <alignment horizontal="right" vertical="center"/>
    </xf>
    <xf numFmtId="0" fontId="23" fillId="0" borderId="0" xfId="0" applyFont="1" applyAlignment="1">
      <alignment horizontal="right" vertical="center"/>
    </xf>
    <xf numFmtId="2" fontId="2" fillId="12" borderId="0" xfId="1" applyNumberFormat="1" applyFill="1"/>
    <xf numFmtId="0" fontId="0" fillId="13" borderId="0" xfId="0" applyFill="1"/>
    <xf numFmtId="2" fontId="0" fillId="14" borderId="0" xfId="0" applyNumberFormat="1" applyFill="1"/>
    <xf numFmtId="2" fontId="2" fillId="14" borderId="0" xfId="1" applyNumberFormat="1" applyFill="1"/>
    <xf numFmtId="2" fontId="0" fillId="12" borderId="0" xfId="0" applyNumberFormat="1" applyFill="1"/>
    <xf numFmtId="0" fontId="2" fillId="2" borderId="3" xfId="1" applyFill="1" applyBorder="1" applyAlignment="1">
      <alignment horizontal="center"/>
    </xf>
    <xf numFmtId="0" fontId="2" fillId="2" borderId="0" xfId="1" applyFill="1" applyAlignment="1">
      <alignment horizontal="center" vertical="center"/>
    </xf>
    <xf numFmtId="2" fontId="2" fillId="2" borderId="0" xfId="1" applyNumberFormat="1" applyFill="1" applyAlignment="1">
      <alignment horizontal="center"/>
    </xf>
    <xf numFmtId="0" fontId="24" fillId="5" borderId="6" xfId="0" applyFont="1" applyFill="1" applyBorder="1"/>
    <xf numFmtId="0" fontId="24" fillId="5" borderId="7" xfId="0" applyFont="1" applyFill="1" applyBorder="1"/>
    <xf numFmtId="165" fontId="0" fillId="0" borderId="17" xfId="0" applyNumberFormat="1" applyBorder="1"/>
    <xf numFmtId="0" fontId="0" fillId="0" borderId="17" xfId="0" applyBorder="1" applyAlignment="1">
      <alignment horizontal="right"/>
    </xf>
    <xf numFmtId="0" fontId="1" fillId="0" borderId="18" xfId="0" applyFont="1" applyBorder="1"/>
    <xf numFmtId="0" fontId="6" fillId="16" borderId="19" xfId="0" applyFont="1" applyFill="1" applyBorder="1" applyAlignment="1">
      <alignment horizontal="right"/>
    </xf>
    <xf numFmtId="0" fontId="0" fillId="0" borderId="9" xfId="0" applyBorder="1"/>
    <xf numFmtId="0" fontId="6" fillId="16" borderId="22" xfId="0" applyFont="1" applyFill="1" applyBorder="1" applyAlignment="1">
      <alignment horizontal="right"/>
    </xf>
    <xf numFmtId="0" fontId="0" fillId="0" borderId="23" xfId="0" applyBorder="1"/>
    <xf numFmtId="0" fontId="8" fillId="0" borderId="23" xfId="0" applyFont="1" applyBorder="1" applyAlignment="1">
      <alignment horizontal="right"/>
    </xf>
    <xf numFmtId="0" fontId="8" fillId="0" borderId="23" xfId="0" applyFont="1" applyBorder="1" applyAlignment="1">
      <alignment horizontal="left"/>
    </xf>
    <xf numFmtId="2" fontId="2" fillId="0" borderId="23" xfId="1" applyNumberFormat="1" applyBorder="1" applyAlignment="1">
      <alignment horizontal="center"/>
    </xf>
    <xf numFmtId="0" fontId="6" fillId="5" borderId="24" xfId="0" applyFont="1" applyFill="1" applyBorder="1"/>
    <xf numFmtId="0" fontId="6" fillId="5" borderId="25" xfId="0" applyFont="1" applyFill="1" applyBorder="1"/>
    <xf numFmtId="2" fontId="7" fillId="0" borderId="21" xfId="0" applyNumberFormat="1" applyFont="1" applyBorder="1"/>
    <xf numFmtId="0" fontId="8" fillId="0" borderId="0" xfId="0" applyFont="1" applyAlignment="1">
      <alignment horizontal="left"/>
    </xf>
    <xf numFmtId="2" fontId="26" fillId="0" borderId="21" xfId="0" applyNumberFormat="1" applyFont="1" applyBorder="1"/>
    <xf numFmtId="2" fontId="27" fillId="0" borderId="21" xfId="0" applyNumberFormat="1" applyFont="1" applyBorder="1"/>
    <xf numFmtId="2" fontId="0" fillId="0" borderId="21" xfId="0" applyNumberFormat="1" applyBorder="1"/>
    <xf numFmtId="0" fontId="0" fillId="0" borderId="0" xfId="0" applyAlignment="1">
      <alignment horizontal="left"/>
    </xf>
    <xf numFmtId="0" fontId="0" fillId="0" borderId="7" xfId="0" applyBorder="1"/>
    <xf numFmtId="0" fontId="0" fillId="0" borderId="26" xfId="0" applyBorder="1"/>
    <xf numFmtId="0" fontId="0" fillId="0" borderId="27" xfId="0" applyBorder="1"/>
    <xf numFmtId="0" fontId="2" fillId="0" borderId="21" xfId="1" applyBorder="1" applyAlignment="1">
      <alignment horizontal="center"/>
    </xf>
    <xf numFmtId="0" fontId="2" fillId="0" borderId="0" xfId="1" applyAlignment="1">
      <alignment horizontal="center"/>
    </xf>
    <xf numFmtId="0" fontId="1" fillId="0" borderId="17" xfId="0" applyFont="1" applyBorder="1"/>
    <xf numFmtId="0" fontId="0" fillId="0" borderId="0" xfId="0" applyAlignment="1">
      <alignment horizontal="center"/>
    </xf>
    <xf numFmtId="0" fontId="6" fillId="5" borderId="25" xfId="0" applyFont="1" applyFill="1" applyBorder="1" applyAlignment="1">
      <alignment horizontal="left"/>
    </xf>
    <xf numFmtId="0" fontId="0" fillId="0" borderId="0" xfId="0" applyAlignment="1">
      <alignment horizontal="right"/>
    </xf>
    <xf numFmtId="0" fontId="2" fillId="0" borderId="0" xfId="1" applyAlignment="1">
      <alignment horizontal="right"/>
    </xf>
    <xf numFmtId="2" fontId="2" fillId="0" borderId="0" xfId="1" applyNumberFormat="1"/>
    <xf numFmtId="0" fontId="0" fillId="5" borderId="0" xfId="0" applyFill="1"/>
    <xf numFmtId="0" fontId="0" fillId="18" borderId="29" xfId="0" applyFill="1" applyBorder="1" applyAlignment="1">
      <alignment horizontal="center" vertical="center"/>
    </xf>
    <xf numFmtId="0" fontId="0" fillId="19" borderId="29" xfId="0" applyFill="1" applyBorder="1" applyAlignment="1">
      <alignment horizontal="center" vertical="center"/>
    </xf>
    <xf numFmtId="0" fontId="0" fillId="18" borderId="32" xfId="0" applyFill="1" applyBorder="1" applyAlignment="1">
      <alignment horizontal="center" vertical="center"/>
    </xf>
    <xf numFmtId="0" fontId="0" fillId="19" borderId="32" xfId="0" applyFill="1" applyBorder="1" applyAlignment="1">
      <alignment horizontal="center" vertical="center"/>
    </xf>
    <xf numFmtId="0" fontId="0" fillId="0" borderId="34" xfId="0" applyBorder="1" applyAlignment="1">
      <alignment horizontal="center"/>
    </xf>
    <xf numFmtId="0" fontId="0" fillId="18" borderId="36" xfId="0" applyFill="1" applyBorder="1" applyAlignment="1">
      <alignment horizontal="center" vertical="distributed"/>
    </xf>
    <xf numFmtId="0" fontId="0" fillId="18" borderId="37" xfId="0" applyFill="1" applyBorder="1" applyAlignment="1">
      <alignment horizontal="center" vertical="distributed"/>
    </xf>
    <xf numFmtId="0" fontId="0" fillId="19" borderId="36" xfId="0" applyFill="1" applyBorder="1" applyAlignment="1">
      <alignment horizontal="center" vertical="distributed"/>
    </xf>
    <xf numFmtId="0" fontId="0" fillId="19" borderId="37" xfId="0" applyFill="1" applyBorder="1" applyAlignment="1">
      <alignment horizontal="center" vertical="distributed"/>
    </xf>
    <xf numFmtId="0" fontId="0" fillId="20" borderId="0" xfId="0" applyFill="1"/>
    <xf numFmtId="166" fontId="0" fillId="0" borderId="0" xfId="0" applyNumberFormat="1"/>
    <xf numFmtId="166" fontId="1" fillId="0" borderId="0" xfId="0" applyNumberFormat="1" applyFont="1"/>
    <xf numFmtId="2" fontId="5" fillId="3" borderId="14" xfId="1" applyNumberFormat="1" applyFont="1" applyFill="1" applyBorder="1" applyAlignment="1">
      <alignment horizontal="center" vertical="center"/>
    </xf>
    <xf numFmtId="0" fontId="2" fillId="0" borderId="38" xfId="1" applyBorder="1"/>
    <xf numFmtId="0" fontId="1" fillId="0" borderId="4" xfId="0" applyFont="1" applyBorder="1" applyAlignment="1">
      <alignment horizontal="center"/>
    </xf>
    <xf numFmtId="0" fontId="1" fillId="0" borderId="39" xfId="0" applyFont="1" applyBorder="1" applyAlignment="1">
      <alignment horizontal="center"/>
    </xf>
    <xf numFmtId="0" fontId="2" fillId="0" borderId="41" xfId="1" applyBorder="1" applyAlignment="1">
      <alignment horizontal="center"/>
    </xf>
    <xf numFmtId="9" fontId="4" fillId="20" borderId="43" xfId="1" applyNumberFormat="1" applyFont="1" applyFill="1" applyBorder="1" applyAlignment="1">
      <alignment horizontal="center"/>
    </xf>
    <xf numFmtId="9" fontId="4" fillId="20" borderId="3" xfId="1" applyNumberFormat="1" applyFont="1" applyFill="1" applyBorder="1" applyAlignment="1">
      <alignment horizontal="center"/>
    </xf>
    <xf numFmtId="0" fontId="4" fillId="0" borderId="40" xfId="1" applyFont="1" applyBorder="1" applyAlignment="1">
      <alignment horizontal="center"/>
    </xf>
    <xf numFmtId="2" fontId="2" fillId="21" borderId="26" xfId="1" applyNumberFormat="1" applyFill="1" applyBorder="1" applyAlignment="1">
      <alignment horizontal="center"/>
    </xf>
    <xf numFmtId="2" fontId="2" fillId="21" borderId="27" xfId="1" applyNumberFormat="1" applyFill="1" applyBorder="1" applyAlignment="1">
      <alignment horizontal="center"/>
    </xf>
    <xf numFmtId="0" fontId="32" fillId="0" borderId="0" xfId="1" applyFont="1"/>
    <xf numFmtId="0" fontId="1" fillId="0" borderId="5" xfId="0" applyFont="1" applyBorder="1" applyAlignment="1">
      <alignment horizontal="center"/>
    </xf>
    <xf numFmtId="0" fontId="4" fillId="0" borderId="0" xfId="1" applyFont="1"/>
    <xf numFmtId="9" fontId="4" fillId="20" borderId="0" xfId="1" applyNumberFormat="1" applyFont="1" applyFill="1" applyAlignment="1">
      <alignment horizontal="left"/>
    </xf>
    <xf numFmtId="2" fontId="2" fillId="0" borderId="3" xfId="1" applyNumberFormat="1" applyBorder="1" applyAlignment="1">
      <alignment horizontal="center"/>
    </xf>
    <xf numFmtId="2" fontId="2" fillId="0" borderId="2" xfId="1" applyNumberFormat="1" applyBorder="1" applyAlignment="1">
      <alignment horizontal="center"/>
    </xf>
    <xf numFmtId="2" fontId="2" fillId="0" borderId="0" xfId="1" applyNumberFormat="1" applyAlignment="1">
      <alignment horizontal="center"/>
    </xf>
    <xf numFmtId="2" fontId="33" fillId="0" borderId="0" xfId="1" applyNumberFormat="1" applyFont="1" applyAlignment="1">
      <alignment horizontal="center"/>
    </xf>
    <xf numFmtId="2" fontId="0" fillId="0" borderId="5" xfId="0" applyNumberFormat="1" applyBorder="1"/>
    <xf numFmtId="2" fontId="2" fillId="14" borderId="0" xfId="1" applyNumberFormat="1" applyFill="1" applyAlignment="1">
      <alignment vertical="center"/>
    </xf>
    <xf numFmtId="2" fontId="2" fillId="21" borderId="17" xfId="1" applyNumberFormat="1" applyFill="1" applyBorder="1" applyAlignment="1">
      <alignment horizontal="center"/>
    </xf>
    <xf numFmtId="10" fontId="0" fillId="0" borderId="0" xfId="0" applyNumberFormat="1"/>
    <xf numFmtId="4" fontId="0" fillId="0" borderId="0" xfId="0" applyNumberFormat="1"/>
    <xf numFmtId="0" fontId="19" fillId="15" borderId="6" xfId="0" applyFont="1" applyFill="1" applyBorder="1"/>
    <xf numFmtId="0" fontId="19" fillId="15" borderId="10" xfId="0" applyFont="1" applyFill="1" applyBorder="1"/>
    <xf numFmtId="9" fontId="0" fillId="0" borderId="17" xfId="0" applyNumberFormat="1" applyBorder="1" applyAlignment="1">
      <alignment horizontal="center"/>
    </xf>
    <xf numFmtId="4" fontId="1" fillId="0" borderId="6" xfId="0" applyNumberFormat="1" applyFont="1" applyBorder="1" applyAlignment="1">
      <alignment horizontal="center"/>
    </xf>
    <xf numFmtId="0" fontId="1" fillId="0" borderId="10" xfId="0" applyFont="1" applyBorder="1" applyAlignment="1">
      <alignment horizontal="center"/>
    </xf>
    <xf numFmtId="0" fontId="28" fillId="0" borderId="44" xfId="0" applyFont="1" applyBorder="1" applyAlignment="1">
      <alignment horizontal="left"/>
    </xf>
    <xf numFmtId="0" fontId="28" fillId="0" borderId="45" xfId="0" applyFont="1" applyBorder="1" applyAlignment="1">
      <alignment horizontal="center"/>
    </xf>
    <xf numFmtId="0" fontId="28" fillId="0" borderId="0" xfId="0" applyFont="1" applyAlignment="1">
      <alignment horizontal="center"/>
    </xf>
    <xf numFmtId="10" fontId="0" fillId="0" borderId="0" xfId="0" applyNumberFormat="1" applyAlignment="1">
      <alignment horizontal="center"/>
    </xf>
    <xf numFmtId="4" fontId="0" fillId="0" borderId="0" xfId="0" applyNumberFormat="1" applyAlignment="1">
      <alignment horizontal="center"/>
    </xf>
    <xf numFmtId="0" fontId="35" fillId="0" borderId="0" xfId="0" applyFont="1"/>
    <xf numFmtId="0" fontId="28" fillId="0" borderId="14" xfId="0" applyFont="1" applyBorder="1" applyAlignment="1">
      <alignment horizontal="center"/>
    </xf>
    <xf numFmtId="0" fontId="28" fillId="0" borderId="46" xfId="0" applyFont="1" applyBorder="1" applyAlignment="1">
      <alignment horizontal="center"/>
    </xf>
    <xf numFmtId="0" fontId="1" fillId="0" borderId="46" xfId="0" applyFont="1" applyBorder="1" applyAlignment="1">
      <alignment horizontal="center"/>
    </xf>
    <xf numFmtId="10" fontId="1" fillId="0" borderId="46" xfId="0" applyNumberFormat="1" applyFont="1" applyBorder="1" applyAlignment="1">
      <alignment horizontal="center"/>
    </xf>
    <xf numFmtId="4" fontId="1" fillId="0" borderId="46" xfId="0" applyNumberFormat="1" applyFont="1" applyBorder="1" applyAlignment="1">
      <alignment horizontal="center"/>
    </xf>
    <xf numFmtId="0" fontId="1" fillId="0" borderId="47" xfId="0" applyFont="1" applyBorder="1" applyAlignment="1">
      <alignment horizontal="center"/>
    </xf>
    <xf numFmtId="2" fontId="0" fillId="0" borderId="49" xfId="0" applyNumberFormat="1" applyBorder="1" applyAlignment="1">
      <alignment horizontal="center"/>
    </xf>
    <xf numFmtId="2" fontId="0" fillId="0" borderId="0" xfId="0" applyNumberFormat="1" applyAlignment="1">
      <alignment horizontal="center"/>
    </xf>
    <xf numFmtId="2" fontId="0" fillId="0" borderId="23" xfId="0" applyNumberFormat="1" applyBorder="1" applyAlignment="1">
      <alignment horizontal="center"/>
    </xf>
    <xf numFmtId="0" fontId="36" fillId="0" borderId="50" xfId="0" applyFont="1" applyBorder="1" applyAlignment="1">
      <alignment horizontal="left"/>
    </xf>
    <xf numFmtId="0" fontId="37" fillId="0" borderId="50" xfId="0" applyFont="1" applyBorder="1" applyAlignment="1">
      <alignment horizontal="left"/>
    </xf>
    <xf numFmtId="0" fontId="34" fillId="0" borderId="50" xfId="0" applyFont="1" applyBorder="1" applyAlignment="1">
      <alignment horizontal="left"/>
    </xf>
    <xf numFmtId="2" fontId="34" fillId="0" borderId="49" xfId="0" applyNumberFormat="1" applyFont="1" applyBorder="1" applyAlignment="1">
      <alignment horizontal="center"/>
    </xf>
    <xf numFmtId="0" fontId="34" fillId="0" borderId="0" xfId="0" applyFont="1" applyAlignment="1">
      <alignment horizontal="center"/>
    </xf>
    <xf numFmtId="10" fontId="34" fillId="0" borderId="0" xfId="0" applyNumberFormat="1" applyFont="1" applyAlignment="1">
      <alignment horizontal="center"/>
    </xf>
    <xf numFmtId="4" fontId="34" fillId="0" borderId="0" xfId="0" applyNumberFormat="1" applyFont="1" applyAlignment="1">
      <alignment horizontal="center"/>
    </xf>
    <xf numFmtId="2" fontId="34" fillId="0" borderId="23" xfId="0" applyNumberFormat="1" applyFont="1" applyBorder="1" applyAlignment="1">
      <alignment horizontal="center"/>
    </xf>
    <xf numFmtId="0" fontId="34" fillId="0" borderId="51" xfId="0" applyFont="1" applyBorder="1" applyAlignment="1">
      <alignment horizontal="left"/>
    </xf>
    <xf numFmtId="2" fontId="0" fillId="0" borderId="52" xfId="0" applyNumberFormat="1" applyBorder="1" applyAlignment="1">
      <alignment horizontal="center"/>
    </xf>
    <xf numFmtId="0" fontId="34" fillId="0" borderId="26" xfId="0" applyFont="1" applyBorder="1" applyAlignment="1">
      <alignment horizontal="center"/>
    </xf>
    <xf numFmtId="10" fontId="34" fillId="0" borderId="26" xfId="0" applyNumberFormat="1" applyFont="1" applyBorder="1" applyAlignment="1">
      <alignment horizontal="center"/>
    </xf>
    <xf numFmtId="4" fontId="34" fillId="0" borderId="26" xfId="0" applyNumberFormat="1" applyFont="1" applyBorder="1" applyAlignment="1">
      <alignment horizontal="center"/>
    </xf>
    <xf numFmtId="2" fontId="34" fillId="0" borderId="27" xfId="0" applyNumberFormat="1" applyFont="1" applyBorder="1" applyAlignment="1">
      <alignment horizontal="center"/>
    </xf>
    <xf numFmtId="0" fontId="0" fillId="0" borderId="53" xfId="0" applyBorder="1" applyAlignment="1">
      <alignment horizontal="left"/>
    </xf>
    <xf numFmtId="2" fontId="0" fillId="0" borderId="54" xfId="0" applyNumberFormat="1" applyBorder="1" applyAlignment="1">
      <alignment horizontal="center"/>
    </xf>
    <xf numFmtId="4" fontId="0" fillId="0" borderId="37" xfId="0" applyNumberFormat="1" applyBorder="1" applyAlignment="1">
      <alignment horizontal="center"/>
    </xf>
    <xf numFmtId="2" fontId="0" fillId="0" borderId="37" xfId="0" applyNumberFormat="1" applyBorder="1" applyAlignment="1">
      <alignment horizontal="center"/>
    </xf>
    <xf numFmtId="0" fontId="38" fillId="0" borderId="6" xfId="0" applyFont="1" applyBorder="1" applyAlignment="1">
      <alignment horizontal="left"/>
    </xf>
    <xf numFmtId="2" fontId="0" fillId="0" borderId="17" xfId="0" applyNumberFormat="1" applyBorder="1" applyAlignment="1">
      <alignment horizontal="center"/>
    </xf>
    <xf numFmtId="9" fontId="0" fillId="0" borderId="0" xfId="0" applyNumberFormat="1"/>
    <xf numFmtId="9" fontId="1" fillId="15" borderId="6" xfId="0" applyNumberFormat="1" applyFont="1" applyFill="1" applyBorder="1" applyAlignment="1">
      <alignment horizontal="center"/>
    </xf>
    <xf numFmtId="2" fontId="1" fillId="15" borderId="17" xfId="0" applyNumberFormat="1" applyFont="1" applyFill="1" applyBorder="1" applyAlignment="1">
      <alignment horizontal="center"/>
    </xf>
    <xf numFmtId="0" fontId="1" fillId="15" borderId="10" xfId="0" applyFont="1" applyFill="1" applyBorder="1"/>
    <xf numFmtId="2" fontId="1" fillId="15" borderId="17" xfId="0" applyNumberFormat="1" applyFont="1" applyFill="1" applyBorder="1"/>
    <xf numFmtId="2" fontId="25" fillId="15" borderId="0" xfId="0" applyNumberFormat="1" applyFont="1" applyFill="1" applyAlignment="1">
      <alignment horizontal="left"/>
    </xf>
    <xf numFmtId="0" fontId="3" fillId="5" borderId="6" xfId="0" applyFont="1" applyFill="1" applyBorder="1" applyAlignment="1">
      <alignment horizontal="center"/>
    </xf>
    <xf numFmtId="0" fontId="40" fillId="0" borderId="0" xfId="0" applyFont="1" applyAlignment="1">
      <alignment horizontal="center" vertical="center"/>
    </xf>
    <xf numFmtId="0" fontId="40" fillId="0" borderId="0" xfId="0" applyFont="1" applyAlignment="1">
      <alignment horizontal="center"/>
    </xf>
    <xf numFmtId="0" fontId="24" fillId="0" borderId="0" xfId="1" applyFont="1"/>
    <xf numFmtId="0" fontId="0" fillId="23" borderId="0" xfId="0" applyFill="1"/>
    <xf numFmtId="0" fontId="0" fillId="24" borderId="0" xfId="0" applyFill="1"/>
    <xf numFmtId="0" fontId="39" fillId="0" borderId="0" xfId="0" applyFont="1"/>
    <xf numFmtId="1" fontId="7" fillId="0" borderId="0" xfId="0" applyNumberFormat="1" applyFont="1"/>
    <xf numFmtId="0" fontId="42" fillId="0" borderId="0" xfId="0" applyFont="1"/>
    <xf numFmtId="0" fontId="8" fillId="0" borderId="0" xfId="0" applyFont="1"/>
    <xf numFmtId="0" fontId="44" fillId="0" borderId="0" xfId="0" applyFont="1"/>
    <xf numFmtId="0" fontId="6" fillId="25" borderId="14" xfId="0" applyFont="1" applyFill="1" applyBorder="1"/>
    <xf numFmtId="2" fontId="7" fillId="0" borderId="47" xfId="0" applyNumberFormat="1" applyFont="1" applyBorder="1"/>
    <xf numFmtId="0" fontId="29" fillId="0" borderId="0" xfId="0" applyFont="1"/>
    <xf numFmtId="0" fontId="0" fillId="0" borderId="0" xfId="0" applyAlignment="1">
      <alignment vertical="top" wrapText="1"/>
    </xf>
    <xf numFmtId="9" fontId="0" fillId="0" borderId="5" xfId="0" applyNumberFormat="1" applyBorder="1" applyAlignment="1">
      <alignment horizontal="center"/>
    </xf>
    <xf numFmtId="2" fontId="0" fillId="0" borderId="5" xfId="0" applyNumberFormat="1" applyBorder="1" applyAlignment="1">
      <alignment horizontal="center"/>
    </xf>
    <xf numFmtId="0" fontId="24" fillId="2" borderId="55" xfId="0" applyFont="1" applyFill="1" applyBorder="1"/>
    <xf numFmtId="0" fontId="24" fillId="2" borderId="56" xfId="0" applyFont="1" applyFill="1" applyBorder="1"/>
    <xf numFmtId="0" fontId="29" fillId="0" borderId="0" xfId="0" applyFont="1" applyAlignment="1">
      <alignment horizontal="center"/>
    </xf>
    <xf numFmtId="167" fontId="0" fillId="0" borderId="5" xfId="0" applyNumberFormat="1" applyBorder="1" applyAlignment="1">
      <alignment horizontal="center"/>
    </xf>
    <xf numFmtId="0" fontId="1" fillId="0" borderId="1" xfId="0" applyFont="1" applyBorder="1" applyAlignment="1">
      <alignment horizontal="left"/>
    </xf>
    <xf numFmtId="0" fontId="0" fillId="26" borderId="0" xfId="0" applyFill="1"/>
    <xf numFmtId="0" fontId="45" fillId="0" borderId="0" xfId="0" applyFont="1"/>
    <xf numFmtId="0" fontId="46" fillId="0" borderId="0" xfId="0" applyFont="1"/>
    <xf numFmtId="0" fontId="47" fillId="0" borderId="49" xfId="0" applyFont="1" applyBorder="1" applyAlignment="1">
      <alignment horizontal="left"/>
    </xf>
    <xf numFmtId="0" fontId="48" fillId="0" borderId="48" xfId="0" applyFont="1" applyBorder="1" applyAlignment="1">
      <alignment horizontal="left"/>
    </xf>
    <xf numFmtId="0" fontId="48" fillId="0" borderId="50" xfId="0" applyFont="1" applyBorder="1" applyAlignment="1">
      <alignment horizontal="left"/>
    </xf>
    <xf numFmtId="0" fontId="0" fillId="21" borderId="0" xfId="0" applyFill="1" applyAlignment="1">
      <alignment horizontal="center"/>
    </xf>
    <xf numFmtId="0" fontId="13" fillId="11" borderId="11" xfId="0" applyFont="1" applyFill="1" applyBorder="1" applyAlignment="1">
      <alignment horizontal="left" vertical="top" wrapText="1"/>
    </xf>
    <xf numFmtId="0" fontId="16" fillId="0" borderId="0" xfId="0" applyFont="1" applyAlignment="1">
      <alignment horizontal="justify" wrapText="1"/>
    </xf>
    <xf numFmtId="0" fontId="4" fillId="0" borderId="5" xfId="1" applyFont="1" applyBorder="1" applyAlignment="1">
      <alignment horizontal="center"/>
    </xf>
    <xf numFmtId="0" fontId="4" fillId="0" borderId="16" xfId="1" applyFont="1" applyBorder="1" applyAlignment="1">
      <alignment horizontal="center"/>
    </xf>
    <xf numFmtId="0" fontId="1" fillId="26" borderId="0" xfId="0" applyFont="1" applyFill="1" applyAlignment="1">
      <alignment horizontal="center"/>
    </xf>
    <xf numFmtId="10" fontId="4" fillId="20" borderId="3" xfId="1" applyNumberFormat="1" applyFont="1" applyFill="1" applyBorder="1" applyAlignment="1">
      <alignment horizontal="center"/>
    </xf>
    <xf numFmtId="10" fontId="4" fillId="20" borderId="42" xfId="1" applyNumberFormat="1" applyFont="1" applyFill="1" applyBorder="1" applyAlignment="1">
      <alignment horizontal="center"/>
    </xf>
    <xf numFmtId="0" fontId="4" fillId="7" borderId="3" xfId="1" applyFont="1" applyFill="1" applyBorder="1" applyAlignment="1">
      <alignment horizontal="center"/>
    </xf>
    <xf numFmtId="0" fontId="4" fillId="7" borderId="2" xfId="1" applyFont="1" applyFill="1" applyBorder="1" applyAlignment="1">
      <alignment horizontal="center"/>
    </xf>
    <xf numFmtId="2" fontId="5" fillId="3" borderId="6" xfId="1" applyNumberFormat="1" applyFont="1" applyFill="1" applyBorder="1" applyAlignment="1">
      <alignment horizontal="center"/>
    </xf>
    <xf numFmtId="2" fontId="5" fillId="3" borderId="15" xfId="1" applyNumberFormat="1" applyFont="1" applyFill="1" applyBorder="1" applyAlignment="1">
      <alignment horizontal="center"/>
    </xf>
    <xf numFmtId="2" fontId="5" fillId="3" borderId="10" xfId="1" applyNumberFormat="1" applyFont="1" applyFill="1" applyBorder="1" applyAlignment="1">
      <alignment horizontal="center"/>
    </xf>
    <xf numFmtId="0" fontId="4" fillId="7" borderId="5" xfId="1" applyFont="1" applyFill="1" applyBorder="1" applyAlignment="1">
      <alignment horizontal="center" vertical="center"/>
    </xf>
    <xf numFmtId="2" fontId="5" fillId="3" borderId="7" xfId="1" applyNumberFormat="1" applyFont="1" applyFill="1" applyBorder="1" applyAlignment="1">
      <alignment horizontal="center"/>
    </xf>
    <xf numFmtId="2" fontId="5" fillId="3" borderId="27" xfId="1" applyNumberFormat="1" applyFont="1" applyFill="1" applyBorder="1" applyAlignment="1">
      <alignment horizontal="center"/>
    </xf>
    <xf numFmtId="0" fontId="4" fillId="7" borderId="4" xfId="1" applyFont="1" applyFill="1" applyBorder="1" applyAlignment="1">
      <alignment horizontal="center"/>
    </xf>
    <xf numFmtId="2" fontId="5" fillId="3" borderId="0" xfId="1" applyNumberFormat="1" applyFont="1" applyFill="1" applyAlignment="1">
      <alignment horizontal="center"/>
    </xf>
    <xf numFmtId="9" fontId="4" fillId="20" borderId="3" xfId="1" applyNumberFormat="1" applyFont="1" applyFill="1" applyBorder="1" applyAlignment="1">
      <alignment horizontal="center"/>
    </xf>
    <xf numFmtId="9" fontId="4" fillId="20" borderId="4" xfId="1" applyNumberFormat="1" applyFont="1" applyFill="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2" fontId="2" fillId="0" borderId="3" xfId="1" applyNumberFormat="1" applyBorder="1" applyAlignment="1">
      <alignment horizontal="center"/>
    </xf>
    <xf numFmtId="2" fontId="2" fillId="0" borderId="4" xfId="1" applyNumberFormat="1" applyBorder="1" applyAlignment="1">
      <alignment horizontal="center"/>
    </xf>
    <xf numFmtId="9" fontId="4" fillId="20" borderId="2" xfId="1" applyNumberFormat="1" applyFont="1" applyFill="1" applyBorder="1" applyAlignment="1">
      <alignment horizontal="center"/>
    </xf>
    <xf numFmtId="0" fontId="3" fillId="2" borderId="1" xfId="1" applyFont="1" applyFill="1" applyBorder="1" applyAlignment="1">
      <alignment horizontal="left"/>
    </xf>
    <xf numFmtId="0" fontId="3" fillId="2" borderId="1" xfId="1" applyFont="1" applyFill="1" applyBorder="1" applyAlignment="1">
      <alignment horizontal="center"/>
    </xf>
    <xf numFmtId="0" fontId="4" fillId="7" borderId="5" xfId="1" applyFont="1" applyFill="1" applyBorder="1" applyAlignment="1">
      <alignment horizontal="center"/>
    </xf>
    <xf numFmtId="0" fontId="21" fillId="0" borderId="0" xfId="0" applyFont="1" applyAlignment="1">
      <alignment vertical="center"/>
    </xf>
    <xf numFmtId="0" fontId="20" fillId="0" borderId="0" xfId="0" applyFont="1" applyAlignment="1">
      <alignment horizontal="left" vertical="center"/>
    </xf>
    <xf numFmtId="0" fontId="19" fillId="0" borderId="0" xfId="0" applyFont="1" applyAlignment="1">
      <alignment horizontal="right"/>
    </xf>
    <xf numFmtId="0" fontId="17" fillId="0" borderId="0" xfId="0" applyFont="1"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6" xfId="0" applyBorder="1" applyAlignment="1">
      <alignment horizontal="left"/>
    </xf>
    <xf numFmtId="0" fontId="0" fillId="0" borderId="15" xfId="0" applyBorder="1" applyAlignment="1">
      <alignment horizontal="left"/>
    </xf>
    <xf numFmtId="0" fontId="41" fillId="22" borderId="0" xfId="0" applyFont="1" applyFill="1" applyAlignment="1">
      <alignment horizontal="center"/>
    </xf>
    <xf numFmtId="2" fontId="4" fillId="17" borderId="0" xfId="1" applyNumberFormat="1" applyFont="1" applyFill="1" applyAlignment="1">
      <alignment horizontal="center"/>
    </xf>
    <xf numFmtId="0" fontId="2" fillId="0" borderId="21" xfId="1" applyBorder="1" applyAlignment="1">
      <alignment horizontal="center"/>
    </xf>
    <xf numFmtId="0" fontId="2" fillId="0" borderId="0" xfId="1" applyAlignment="1">
      <alignment horizontal="center"/>
    </xf>
    <xf numFmtId="0" fontId="2" fillId="0" borderId="23" xfId="1" applyBorder="1" applyAlignment="1">
      <alignment horizontal="center"/>
    </xf>
    <xf numFmtId="4" fontId="29" fillId="19" borderId="9" xfId="0" applyNumberFormat="1" applyFont="1" applyFill="1" applyBorder="1" applyAlignment="1">
      <alignment horizontal="right" vertical="center"/>
    </xf>
    <xf numFmtId="4" fontId="29" fillId="19" borderId="27" xfId="0" applyNumberFormat="1" applyFont="1" applyFill="1" applyBorder="1" applyAlignment="1">
      <alignment horizontal="right" vertical="center"/>
    </xf>
    <xf numFmtId="0" fontId="0" fillId="16" borderId="8" xfId="0" applyFill="1" applyBorder="1" applyAlignment="1">
      <alignment horizontal="center" vertical="center"/>
    </xf>
    <xf numFmtId="0" fontId="0" fillId="16" borderId="20" xfId="0" applyFill="1" applyBorder="1" applyAlignment="1">
      <alignment horizontal="center" vertical="center"/>
    </xf>
    <xf numFmtId="0" fontId="0" fillId="16" borderId="21" xfId="0" applyFill="1" applyBorder="1" applyAlignment="1">
      <alignment horizontal="center" vertical="center"/>
    </xf>
    <xf numFmtId="0" fontId="0" fillId="16" borderId="0" xfId="0" applyFill="1" applyAlignment="1">
      <alignment horizontal="center" vertical="center"/>
    </xf>
    <xf numFmtId="0" fontId="0" fillId="16" borderId="7" xfId="0" applyFill="1" applyBorder="1" applyAlignment="1">
      <alignment horizontal="center" vertical="center"/>
    </xf>
    <xf numFmtId="0" fontId="0" fillId="16" borderId="26" xfId="0" applyFill="1" applyBorder="1" applyAlignment="1">
      <alignment horizontal="center" vertical="center"/>
    </xf>
    <xf numFmtId="0" fontId="31" fillId="15" borderId="35" xfId="0" applyFont="1" applyFill="1" applyBorder="1" applyAlignment="1">
      <alignment horizontal="center" vertical="center"/>
    </xf>
    <xf numFmtId="0" fontId="31" fillId="15" borderId="33" xfId="0" applyFont="1" applyFill="1" applyBorder="1" applyAlignment="1">
      <alignment horizontal="center" vertical="center"/>
    </xf>
    <xf numFmtId="0" fontId="0" fillId="18" borderId="8" xfId="0" applyFill="1" applyBorder="1" applyAlignment="1">
      <alignment horizontal="center" vertical="distributed"/>
    </xf>
    <xf numFmtId="0" fontId="0" fillId="18" borderId="20" xfId="0" applyFill="1" applyBorder="1" applyAlignment="1">
      <alignment horizontal="center" vertical="distributed"/>
    </xf>
    <xf numFmtId="0" fontId="0" fillId="18" borderId="7" xfId="0" applyFill="1" applyBorder="1" applyAlignment="1">
      <alignment horizontal="center" vertical="distributed"/>
    </xf>
    <xf numFmtId="0" fontId="0" fillId="18" borderId="26" xfId="0" applyFill="1" applyBorder="1" applyAlignment="1">
      <alignment horizontal="center" vertical="distributed"/>
    </xf>
    <xf numFmtId="0" fontId="1" fillId="20" borderId="6" xfId="0" applyFont="1" applyFill="1" applyBorder="1" applyAlignment="1">
      <alignment horizontal="center"/>
    </xf>
    <xf numFmtId="0" fontId="1" fillId="20" borderId="10" xfId="0" applyFont="1" applyFill="1" applyBorder="1" applyAlignment="1">
      <alignment horizontal="center"/>
    </xf>
    <xf numFmtId="4" fontId="29" fillId="18" borderId="30" xfId="0" applyNumberFormat="1" applyFont="1" applyFill="1" applyBorder="1" applyAlignment="1">
      <alignment horizontal="right" vertical="center"/>
    </xf>
    <xf numFmtId="4" fontId="29" fillId="18" borderId="33" xfId="0" applyNumberFormat="1" applyFont="1" applyFill="1" applyBorder="1" applyAlignment="1">
      <alignment horizontal="right" vertical="center"/>
    </xf>
    <xf numFmtId="4" fontId="29" fillId="18" borderId="9" xfId="0" applyNumberFormat="1" applyFont="1" applyFill="1" applyBorder="1" applyAlignment="1">
      <alignment horizontal="right" vertical="center"/>
    </xf>
    <xf numFmtId="4" fontId="29" fillId="18" borderId="27" xfId="0" applyNumberFormat="1" applyFont="1" applyFill="1" applyBorder="1" applyAlignment="1">
      <alignment horizontal="right" vertical="center"/>
    </xf>
    <xf numFmtId="0" fontId="0" fillId="19" borderId="8" xfId="0" applyFill="1" applyBorder="1" applyAlignment="1">
      <alignment horizontal="center" vertical="distributed"/>
    </xf>
    <xf numFmtId="0" fontId="0" fillId="19" borderId="28" xfId="0" applyFill="1" applyBorder="1" applyAlignment="1">
      <alignment horizontal="center" vertical="distributed"/>
    </xf>
    <xf numFmtId="0" fontId="0" fillId="19" borderId="7" xfId="0" applyFill="1" applyBorder="1" applyAlignment="1">
      <alignment horizontal="center" vertical="distributed"/>
    </xf>
    <xf numFmtId="0" fontId="0" fillId="19" borderId="31" xfId="0" applyFill="1" applyBorder="1" applyAlignment="1">
      <alignment horizontal="center" vertical="distributed"/>
    </xf>
    <xf numFmtId="0" fontId="1" fillId="0" borderId="0" xfId="0" applyFont="1" applyAlignment="1">
      <alignment horizontal="center"/>
    </xf>
    <xf numFmtId="0" fontId="1" fillId="24" borderId="6" xfId="0" applyFont="1" applyFill="1" applyBorder="1" applyAlignment="1">
      <alignment horizontal="center"/>
    </xf>
    <xf numFmtId="0" fontId="1" fillId="24" borderId="10" xfId="0" applyFont="1" applyFill="1" applyBorder="1" applyAlignment="1">
      <alignment horizontal="center"/>
    </xf>
    <xf numFmtId="4" fontId="29" fillId="18" borderId="18" xfId="0" applyNumberFormat="1" applyFont="1" applyFill="1" applyBorder="1" applyAlignment="1">
      <alignment horizontal="right" vertical="center"/>
    </xf>
    <xf numFmtId="4" fontId="29" fillId="18" borderId="37" xfId="0" applyNumberFormat="1" applyFont="1" applyFill="1" applyBorder="1" applyAlignment="1">
      <alignment horizontal="right" vertical="center"/>
    </xf>
    <xf numFmtId="4" fontId="29" fillId="19" borderId="18" xfId="0" applyNumberFormat="1" applyFont="1" applyFill="1" applyBorder="1" applyAlignment="1">
      <alignment horizontal="right" vertical="center"/>
    </xf>
    <xf numFmtId="4" fontId="29" fillId="19" borderId="37" xfId="0" applyNumberFormat="1" applyFont="1" applyFill="1" applyBorder="1" applyAlignment="1">
      <alignment horizontal="right" vertical="center"/>
    </xf>
    <xf numFmtId="0" fontId="0" fillId="19" borderId="8" xfId="0" applyFill="1" applyBorder="1" applyAlignment="1">
      <alignment horizontal="left" vertical="distributed"/>
    </xf>
    <xf numFmtId="0" fontId="0" fillId="19" borderId="20" xfId="0" applyFill="1" applyBorder="1" applyAlignment="1">
      <alignment horizontal="left" vertical="distributed"/>
    </xf>
    <xf numFmtId="0" fontId="0" fillId="19" borderId="7" xfId="0" applyFill="1" applyBorder="1" applyAlignment="1">
      <alignment horizontal="left" vertical="distributed"/>
    </xf>
    <xf numFmtId="0" fontId="0" fillId="19" borderId="26" xfId="0" applyFill="1" applyBorder="1" applyAlignment="1">
      <alignment horizontal="left" vertical="distributed"/>
    </xf>
    <xf numFmtId="0" fontId="0" fillId="0" borderId="0" xfId="0" applyAlignment="1">
      <alignment horizontal="left" vertical="top" wrapText="1"/>
    </xf>
    <xf numFmtId="0" fontId="43" fillId="2" borderId="0" xfId="0" applyFont="1" applyFill="1" applyAlignment="1">
      <alignment horizontal="center"/>
    </xf>
    <xf numFmtId="0" fontId="1" fillId="15" borderId="3" xfId="0" applyFont="1" applyFill="1" applyBorder="1" applyAlignment="1">
      <alignment horizontal="center"/>
    </xf>
    <xf numFmtId="0" fontId="1" fillId="15" borderId="2" xfId="0" applyFont="1" applyFill="1" applyBorder="1" applyAlignment="1">
      <alignment horizontal="center"/>
    </xf>
    <xf numFmtId="0" fontId="1" fillId="15" borderId="4" xfId="0" applyFont="1" applyFill="1" applyBorder="1" applyAlignment="1">
      <alignment horizontal="center"/>
    </xf>
  </cellXfs>
  <cellStyles count="2">
    <cellStyle name="Normal" xfId="0" builtinId="0"/>
    <cellStyle name="Normal 2 2" xfId="1" xr:uid="{DBF5D9B2-0684-49EB-9645-8BD3031BAC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3/09/relationships/Python" Target="pyth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95250</xdr:rowOff>
    </xdr:from>
    <xdr:to>
      <xdr:col>1</xdr:col>
      <xdr:colOff>1541148</xdr:colOff>
      <xdr:row>9</xdr:row>
      <xdr:rowOff>143401</xdr:rowOff>
    </xdr:to>
    <xdr:pic>
      <xdr:nvPicPr>
        <xdr:cNvPr id="2" name="Picture 1" descr="logo_isa_1020x1020.png">
          <a:extLst>
            <a:ext uri="{FF2B5EF4-FFF2-40B4-BE49-F238E27FC236}">
              <a16:creationId xmlns:a16="http://schemas.microsoft.com/office/drawing/2014/main" id="{EC883B30-BC96-471F-8C02-B7C5D20DE4B4}"/>
            </a:ext>
          </a:extLst>
        </xdr:cNvPr>
        <xdr:cNvPicPr>
          <a:picLocks noChangeAspect="1"/>
        </xdr:cNvPicPr>
      </xdr:nvPicPr>
      <xdr:blipFill>
        <a:blip xmlns:r="http://schemas.openxmlformats.org/officeDocument/2006/relationships" r:embed="rId1"/>
        <a:stretch>
          <a:fillRect/>
        </a:stretch>
      </xdr:blipFill>
      <xdr:spPr>
        <a:xfrm>
          <a:off x="0" y="463550"/>
          <a:ext cx="1541148" cy="1470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AB25032E-2C3E-4BAB-8B73-48A5726E8546}"/>
            </a:ext>
          </a:extLst>
        </xdr:cNvPr>
        <xdr:cNvPicPr>
          <a:picLocks noChangeAspect="1"/>
        </xdr:cNvPicPr>
      </xdr:nvPicPr>
      <xdr:blipFill>
        <a:blip xmlns:r="http://schemas.openxmlformats.org/officeDocument/2006/relationships" r:embed="rId1"/>
        <a:stretch>
          <a:fillRect/>
        </a:stretch>
      </xdr:blipFill>
      <xdr:spPr>
        <a:xfrm>
          <a:off x="447675" y="152400"/>
          <a:ext cx="1544958" cy="158305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Disbursements\PERSONALES%20DA\VALE\1.%20Desarrollo%20proformador\Proformador%202024.xlsx" TargetMode="External"/><Relationship Id="rId1" Type="http://schemas.openxmlformats.org/officeDocument/2006/relationships/externalLinkPath" Target="file:///T:\Disbursements\PERSONALES%20DA\VALE\1.%20Desarrollo%20proformador\Proformado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priver"/>
      <sheetName val="Ajustada"/>
      <sheetName val="Financiero"/>
      <sheetName val="Breakdown"/>
      <sheetName val="Calculos"/>
    </sheetNames>
    <sheetDataSet>
      <sheetData sheetId="0">
        <row r="12">
          <cell r="B12">
            <v>0</v>
          </cell>
        </row>
      </sheetData>
      <sheetData sheetId="1"/>
      <sheetData sheetId="2"/>
      <sheetData sheetId="3"/>
      <sheetData sheetId="4"/>
    </sheetDataSet>
  </externalBook>
</externalLink>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F598-38BB-4459-B9C4-3A50A6D143F4}">
  <sheetPr>
    <tabColor theme="9" tint="0.39997558519241921"/>
  </sheetPr>
  <dimension ref="A1:U57"/>
  <sheetViews>
    <sheetView topLeftCell="A14" zoomScale="80" zoomScaleNormal="80" workbookViewId="0">
      <selection activeCell="C31" sqref="C31"/>
    </sheetView>
  </sheetViews>
  <sheetFormatPr baseColWidth="10" defaultRowHeight="14.5" x14ac:dyDescent="0.35"/>
  <cols>
    <col min="1" max="1" width="14" customWidth="1"/>
    <col min="2" max="2" width="13.1796875" bestFit="1" customWidth="1"/>
    <col min="10" max="11" width="11.54296875" customWidth="1"/>
    <col min="12" max="12" width="8.54296875" customWidth="1"/>
    <col min="13" max="13" width="5.54296875" customWidth="1"/>
    <col min="14" max="14" width="17.453125" customWidth="1"/>
    <col min="15" max="15" width="13.453125" customWidth="1"/>
    <col min="16" max="16" width="11.54296875" customWidth="1"/>
    <col min="17" max="17" width="6.54296875" customWidth="1"/>
    <col min="18" max="18" width="10.1796875" customWidth="1"/>
    <col min="19" max="19" width="6.453125" customWidth="1"/>
    <col min="20" max="21" width="11.54296875" customWidth="1"/>
    <col min="23" max="23" width="11.54296875" customWidth="1"/>
  </cols>
  <sheetData>
    <row r="1" spans="1:5" s="5" customFormat="1" x14ac:dyDescent="0.35"/>
    <row r="3" spans="1:5" ht="16" x14ac:dyDescent="0.4">
      <c r="A3" s="175" t="s">
        <v>0</v>
      </c>
      <c r="B3" s="225"/>
      <c r="C3" s="225"/>
      <c r="D3" s="225"/>
      <c r="E3" s="225"/>
    </row>
    <row r="4" spans="1:5" ht="7.75" customHeight="1" x14ac:dyDescent="0.35">
      <c r="A4" s="1"/>
      <c r="B4" s="2"/>
      <c r="C4" s="2"/>
      <c r="D4" s="2"/>
      <c r="E4" s="2"/>
    </row>
    <row r="5" spans="1:5" ht="16" x14ac:dyDescent="0.4">
      <c r="A5" s="175" t="s">
        <v>1</v>
      </c>
      <c r="B5" s="226"/>
      <c r="C5" s="226"/>
    </row>
    <row r="8" spans="1:5" ht="15" thickBot="1" x14ac:dyDescent="0.4">
      <c r="A8" s="208" t="s">
        <v>2</v>
      </c>
      <c r="B8" s="216"/>
    </row>
    <row r="9" spans="1:5" ht="16.5" thickBot="1" x14ac:dyDescent="0.45">
      <c r="A9" s="59" t="s">
        <v>285</v>
      </c>
      <c r="B9" s="57"/>
    </row>
    <row r="10" spans="1:5" ht="16.5" thickBot="1" x14ac:dyDescent="0.45">
      <c r="A10" s="59" t="s">
        <v>286</v>
      </c>
      <c r="B10" s="57"/>
    </row>
    <row r="11" spans="1:5" ht="16.5" thickBot="1" x14ac:dyDescent="0.45">
      <c r="A11" s="59" t="s">
        <v>5</v>
      </c>
      <c r="B11" s="18">
        <v>187</v>
      </c>
    </row>
    <row r="12" spans="1:5" ht="16.5" thickBot="1" x14ac:dyDescent="0.45">
      <c r="A12" s="59" t="s">
        <v>6</v>
      </c>
      <c r="B12" s="18">
        <v>27149</v>
      </c>
      <c r="C12">
        <v>47.45</v>
      </c>
    </row>
    <row r="13" spans="1:5" ht="16.5" thickBot="1" x14ac:dyDescent="0.45">
      <c r="A13" s="59" t="s">
        <v>287</v>
      </c>
      <c r="B13" s="18"/>
    </row>
    <row r="14" spans="1:5" x14ac:dyDescent="0.35">
      <c r="A14" s="3"/>
      <c r="B14" s="4"/>
    </row>
    <row r="15" spans="1:5" x14ac:dyDescent="0.35">
      <c r="A15" s="4"/>
      <c r="B15" s="4"/>
    </row>
    <row r="16" spans="1:5" ht="15" thickBot="1" x14ac:dyDescent="0.4">
      <c r="A16" s="227" t="s">
        <v>9</v>
      </c>
      <c r="B16" s="227"/>
    </row>
    <row r="17" spans="1:21" ht="16" thickBot="1" x14ac:dyDescent="0.4">
      <c r="A17" s="172" t="s">
        <v>6</v>
      </c>
      <c r="B17" s="172" t="s">
        <v>10</v>
      </c>
    </row>
    <row r="18" spans="1:21" ht="15" thickBot="1" x14ac:dyDescent="0.4">
      <c r="A18" s="83">
        <f>B12</f>
        <v>27149</v>
      </c>
      <c r="B18" s="58">
        <v>2</v>
      </c>
    </row>
    <row r="19" spans="1:21" ht="15" thickBot="1" x14ac:dyDescent="0.4">
      <c r="A19" s="210">
        <f>A18*0.37*B18</f>
        <v>20090.259999999998</v>
      </c>
      <c r="B19" s="212"/>
    </row>
    <row r="21" spans="1:21" ht="15" thickBot="1" x14ac:dyDescent="0.4"/>
    <row r="22" spans="1:21" ht="16" thickBot="1" x14ac:dyDescent="0.4">
      <c r="A22" s="172" t="s">
        <v>6</v>
      </c>
      <c r="B22" s="213" t="s">
        <v>102</v>
      </c>
      <c r="C22" s="213"/>
      <c r="M22" s="194"/>
      <c r="N22" s="205" t="s">
        <v>156</v>
      </c>
      <c r="O22" s="205"/>
      <c r="P22" s="205"/>
      <c r="Q22" s="205"/>
      <c r="R22" s="205"/>
      <c r="S22" s="205"/>
      <c r="T22" s="205"/>
      <c r="U22" s="205"/>
    </row>
    <row r="23" spans="1:21" ht="15" thickBot="1" x14ac:dyDescent="0.4">
      <c r="A23" s="56">
        <f>B12</f>
        <v>27149</v>
      </c>
      <c r="B23" s="214">
        <f>A23*0.059*1.2</f>
        <v>1922.1491999999998</v>
      </c>
      <c r="C23" s="215"/>
      <c r="M23" s="194"/>
      <c r="U23" s="194"/>
    </row>
    <row r="24" spans="1:21" x14ac:dyDescent="0.35">
      <c r="M24" s="194"/>
      <c r="U24" s="194"/>
    </row>
    <row r="25" spans="1:21" x14ac:dyDescent="0.35">
      <c r="M25" s="194"/>
      <c r="U25" s="194"/>
    </row>
    <row r="26" spans="1:21" ht="15" thickBot="1" x14ac:dyDescent="0.4">
      <c r="A26" s="208" t="s">
        <v>11</v>
      </c>
      <c r="B26" s="209"/>
      <c r="C26" s="209"/>
      <c r="D26" s="209"/>
      <c r="E26" s="209"/>
      <c r="F26" s="216"/>
      <c r="G26" s="193" t="s">
        <v>28</v>
      </c>
      <c r="M26" s="194"/>
      <c r="N26" s="104"/>
      <c r="O26" s="105" t="s">
        <v>7</v>
      </c>
      <c r="P26" s="106" t="s">
        <v>8</v>
      </c>
      <c r="S26" s="203"/>
      <c r="T26" s="204"/>
      <c r="U26" s="194"/>
    </row>
    <row r="27" spans="1:21" ht="15" thickBot="1" x14ac:dyDescent="0.4">
      <c r="A27" s="4"/>
      <c r="B27" s="173" t="s">
        <v>7</v>
      </c>
      <c r="C27" s="173" t="s">
        <v>8</v>
      </c>
      <c r="D27" s="173"/>
      <c r="E27" s="173" t="s">
        <v>7</v>
      </c>
      <c r="F27" s="173" t="s">
        <v>8</v>
      </c>
      <c r="G27" s="173"/>
      <c r="H27" s="173"/>
      <c r="I27" s="173"/>
      <c r="J27" s="173"/>
      <c r="M27" s="194"/>
      <c r="N27" s="110" t="s">
        <v>28</v>
      </c>
      <c r="O27" s="206">
        <v>0.12</v>
      </c>
      <c r="P27" s="207"/>
      <c r="Q27" s="109">
        <v>0.04</v>
      </c>
      <c r="R27" s="123">
        <f>(E32+4440)*4%</f>
        <v>937.44</v>
      </c>
      <c r="S27" s="108"/>
      <c r="T27" s="123"/>
      <c r="U27" s="194"/>
    </row>
    <row r="28" spans="1:21" ht="16.5" thickBot="1" x14ac:dyDescent="0.45">
      <c r="A28" s="59" t="s">
        <v>12</v>
      </c>
      <c r="B28" s="18">
        <v>2</v>
      </c>
      <c r="C28" s="18">
        <v>2</v>
      </c>
      <c r="D28" s="4"/>
      <c r="E28" s="53">
        <f>(+Calculos!A10+Calculos!A12)*Calculos!B5</f>
        <v>7480</v>
      </c>
      <c r="F28" s="53">
        <f>(Calculos!H10+Calculos!H12)*Calculos!I5</f>
        <v>9724</v>
      </c>
      <c r="M28" s="194"/>
      <c r="N28" s="107"/>
      <c r="O28" s="111">
        <f>+E32*O27</f>
        <v>2279.52</v>
      </c>
      <c r="P28" s="112">
        <f>+F32*O27</f>
        <v>3078.96</v>
      </c>
      <c r="Q28" s="109">
        <v>0.04</v>
      </c>
      <c r="R28" s="123">
        <f>(F32+4440)*4%</f>
        <v>1203.92</v>
      </c>
      <c r="S28" s="109"/>
      <c r="T28" s="123"/>
      <c r="U28" s="194"/>
    </row>
    <row r="29" spans="1:21" ht="16.5" thickBot="1" x14ac:dyDescent="0.45">
      <c r="A29" s="60" t="s">
        <v>13</v>
      </c>
      <c r="B29" s="18">
        <v>0</v>
      </c>
      <c r="C29" s="18">
        <v>10.41</v>
      </c>
      <c r="D29" s="4"/>
      <c r="E29" s="53">
        <f>SUM(Calculos!A13:A17)*Calculos!B5</f>
        <v>11516</v>
      </c>
      <c r="F29" s="53">
        <f>SUM(Calculos!H13:H17)*Calculos!I5</f>
        <v>11516</v>
      </c>
      <c r="M29" s="194"/>
      <c r="N29" s="113" t="s">
        <v>157</v>
      </c>
      <c r="U29" s="194"/>
    </row>
    <row r="30" spans="1:21" ht="16.5" thickBot="1" x14ac:dyDescent="0.45">
      <c r="A30" s="59" t="s">
        <v>14</v>
      </c>
      <c r="B30" s="18">
        <v>0</v>
      </c>
      <c r="C30" s="18">
        <v>6</v>
      </c>
      <c r="D30" s="4"/>
      <c r="E30" s="53">
        <f>Calculos!A18</f>
        <v>0</v>
      </c>
      <c r="F30" s="53">
        <f>Calculos!H18</f>
        <v>1800</v>
      </c>
      <c r="M30" s="194"/>
      <c r="U30" s="194"/>
    </row>
    <row r="31" spans="1:21" ht="16.5" thickBot="1" x14ac:dyDescent="0.45">
      <c r="A31" s="59" t="s">
        <v>15</v>
      </c>
      <c r="B31" s="18">
        <v>0</v>
      </c>
      <c r="C31" s="18">
        <v>1</v>
      </c>
      <c r="D31" s="4"/>
      <c r="E31" s="53">
        <f>Calculos!A19</f>
        <v>0</v>
      </c>
      <c r="F31" s="53">
        <f>Calculos!H19</f>
        <v>2618</v>
      </c>
      <c r="M31" s="194"/>
      <c r="U31" s="194"/>
    </row>
    <row r="32" spans="1:21" ht="15" thickBot="1" x14ac:dyDescent="0.4">
      <c r="E32" s="55">
        <f>SUM(E28:E31)</f>
        <v>18996</v>
      </c>
      <c r="F32" s="55">
        <f>SUM(F28:F31)</f>
        <v>25658</v>
      </c>
      <c r="M32" s="194"/>
      <c r="U32" s="194"/>
    </row>
    <row r="33" spans="1:21" ht="15" thickBot="1" x14ac:dyDescent="0.4">
      <c r="A33" s="217"/>
      <c r="B33" s="217"/>
      <c r="C33" s="217"/>
      <c r="D33" s="217"/>
      <c r="E33" s="103">
        <f>IF(G26="INDEPENDIENTE",E28+15900,IF(G26="RIPLA",E28+15960,0))</f>
        <v>23440</v>
      </c>
      <c r="F33" s="103">
        <f>IF(G26="INDEPENDIENTE",F28+15900,IF(G26="RIPLA",F28+15960,0))</f>
        <v>25684</v>
      </c>
      <c r="M33" s="194"/>
      <c r="U33" s="194"/>
    </row>
    <row r="34" spans="1:21" x14ac:dyDescent="0.35">
      <c r="M34" s="194"/>
      <c r="U34" s="194"/>
    </row>
    <row r="35" spans="1:21" x14ac:dyDescent="0.35">
      <c r="M35" s="194"/>
      <c r="U35" s="194"/>
    </row>
    <row r="36" spans="1:21" x14ac:dyDescent="0.35">
      <c r="A36" s="208" t="s">
        <v>98</v>
      </c>
      <c r="B36" s="209"/>
      <c r="C36" s="209"/>
      <c r="D36" s="209"/>
      <c r="E36" s="209"/>
      <c r="F36" s="209"/>
      <c r="G36" s="209"/>
      <c r="H36" s="209"/>
      <c r="I36" s="209"/>
      <c r="J36" s="209"/>
      <c r="M36" s="194"/>
      <c r="N36" s="114" t="s">
        <v>7</v>
      </c>
      <c r="O36" s="114" t="s">
        <v>99</v>
      </c>
      <c r="P36" s="114" t="s">
        <v>99</v>
      </c>
      <c r="Q36" s="220" t="s">
        <v>8</v>
      </c>
      <c r="R36" s="221"/>
      <c r="U36" s="194"/>
    </row>
    <row r="37" spans="1:21" ht="15" thickBot="1" x14ac:dyDescent="0.4">
      <c r="A37" s="4"/>
      <c r="B37" s="173" t="s">
        <v>7</v>
      </c>
      <c r="C37" s="173" t="s">
        <v>99</v>
      </c>
      <c r="D37" s="173" t="s">
        <v>99</v>
      </c>
      <c r="E37" s="173" t="s">
        <v>8</v>
      </c>
      <c r="F37" s="173"/>
      <c r="G37" s="173" t="s">
        <v>7</v>
      </c>
      <c r="H37" s="173" t="s">
        <v>99</v>
      </c>
      <c r="I37" s="173" t="s">
        <v>99</v>
      </c>
      <c r="J37" s="173" t="s">
        <v>8</v>
      </c>
      <c r="M37" s="194"/>
      <c r="N37" s="218">
        <v>0.1</v>
      </c>
      <c r="O37" s="224"/>
      <c r="P37" s="224"/>
      <c r="Q37" s="224"/>
      <c r="R37" s="224"/>
      <c r="U37" s="194"/>
    </row>
    <row r="38" spans="1:21" ht="16.5" thickBot="1" x14ac:dyDescent="0.45">
      <c r="A38" s="59" t="s">
        <v>12</v>
      </c>
      <c r="B38" s="18">
        <v>2</v>
      </c>
      <c r="C38" s="18">
        <v>0</v>
      </c>
      <c r="D38" s="18">
        <v>0</v>
      </c>
      <c r="E38" s="18">
        <v>2</v>
      </c>
      <c r="G38" s="54">
        <f>Calculos!A34+Calculos!A35+Calculos!A36</f>
        <v>12376</v>
      </c>
      <c r="H38" s="54">
        <f>Calculos!D34+Calculos!D35+Calculos!D36</f>
        <v>0</v>
      </c>
      <c r="I38" s="54">
        <f>Calculos!G34+Calculos!G35+Calculos!G36</f>
        <v>0</v>
      </c>
      <c r="J38" s="54">
        <f>Calculos!J34+Calculos!J35+Calculos!J36</f>
        <v>15652</v>
      </c>
      <c r="M38" s="194"/>
      <c r="N38" s="117">
        <f>+G43*N37</f>
        <v>2495.4</v>
      </c>
      <c r="O38" s="118">
        <f>+H43*N37</f>
        <v>0</v>
      </c>
      <c r="P38" s="118">
        <f>+I43*N37</f>
        <v>0</v>
      </c>
      <c r="Q38" s="222">
        <f>+J43*N37</f>
        <v>2898</v>
      </c>
      <c r="R38" s="223"/>
      <c r="U38" s="194"/>
    </row>
    <row r="39" spans="1:21" ht="16.5" thickBot="1" x14ac:dyDescent="0.45">
      <c r="A39" s="59" t="s">
        <v>100</v>
      </c>
      <c r="B39" s="18">
        <v>391</v>
      </c>
      <c r="C39" s="18">
        <v>0</v>
      </c>
      <c r="D39" s="18">
        <v>0</v>
      </c>
      <c r="E39" s="18">
        <v>377</v>
      </c>
      <c r="G39" s="54">
        <v>9960</v>
      </c>
      <c r="H39" s="54">
        <f>Calculos!D39+Calculos!D40</f>
        <v>0</v>
      </c>
      <c r="I39" s="54">
        <f>Calculos!G39+Calculos!G40</f>
        <v>0</v>
      </c>
      <c r="J39" s="54">
        <f>Calculos!J39+Calculos!J40</f>
        <v>9960</v>
      </c>
      <c r="M39" s="194"/>
      <c r="N39" s="113" t="s">
        <v>158</v>
      </c>
      <c r="O39" s="4"/>
      <c r="P39" s="4"/>
      <c r="Q39" s="4"/>
      <c r="U39" s="194"/>
    </row>
    <row r="40" spans="1:21" ht="16.5" thickBot="1" x14ac:dyDescent="0.45">
      <c r="A40" s="60" t="s">
        <v>13</v>
      </c>
      <c r="B40" s="18">
        <v>0</v>
      </c>
      <c r="C40" s="18">
        <v>0</v>
      </c>
      <c r="D40" s="18">
        <v>0</v>
      </c>
      <c r="E40" s="18">
        <v>10.41</v>
      </c>
      <c r="G40" s="54">
        <f>Calculos!A37</f>
        <v>0</v>
      </c>
      <c r="H40" s="54">
        <f>Calculos!D37</f>
        <v>0</v>
      </c>
      <c r="I40" s="54">
        <f>Calculos!G37</f>
        <v>0</v>
      </c>
      <c r="J40" s="54">
        <f>Calculos!J37</f>
        <v>750</v>
      </c>
      <c r="M40" s="194"/>
      <c r="N40" s="115" t="s">
        <v>159</v>
      </c>
      <c r="O40" s="4"/>
      <c r="P40" s="116">
        <v>0.04</v>
      </c>
      <c r="U40" s="194"/>
    </row>
    <row r="41" spans="1:21" ht="16.5" thickBot="1" x14ac:dyDescent="0.45">
      <c r="A41" s="59" t="s">
        <v>14</v>
      </c>
      <c r="B41" s="18">
        <v>0</v>
      </c>
      <c r="C41" s="18">
        <v>0</v>
      </c>
      <c r="D41" s="18">
        <v>0</v>
      </c>
      <c r="E41" s="18">
        <v>2.5</v>
      </c>
      <c r="G41" s="53">
        <f>Calculos!A38</f>
        <v>2618</v>
      </c>
      <c r="H41" s="53">
        <f>Calculos!D38</f>
        <v>0</v>
      </c>
      <c r="I41" s="53">
        <f>Calculos!G38</f>
        <v>0</v>
      </c>
      <c r="J41" s="53">
        <f>Calculos!J38</f>
        <v>2618</v>
      </c>
      <c r="M41" s="194"/>
      <c r="N41" s="117">
        <f>+G43*P40</f>
        <v>998.16</v>
      </c>
      <c r="O41" s="117">
        <f>+H43*P40</f>
        <v>0</v>
      </c>
      <c r="P41" s="117">
        <f>+I43*P40</f>
        <v>0</v>
      </c>
      <c r="Q41" s="222">
        <f>+J43*P40</f>
        <v>1159.2</v>
      </c>
      <c r="R41" s="223"/>
      <c r="U41" s="194"/>
    </row>
    <row r="42" spans="1:21" ht="16.5" thickBot="1" x14ac:dyDescent="0.45">
      <c r="A42" s="59" t="s">
        <v>15</v>
      </c>
      <c r="B42" s="18">
        <v>1</v>
      </c>
      <c r="C42" s="18">
        <v>0</v>
      </c>
      <c r="D42" s="18">
        <v>0</v>
      </c>
      <c r="E42" s="18">
        <v>1</v>
      </c>
      <c r="M42" s="194"/>
      <c r="N42" s="4"/>
      <c r="O42" s="4"/>
      <c r="P42" s="4"/>
      <c r="Q42" s="4"/>
      <c r="U42" s="194"/>
    </row>
    <row r="43" spans="1:21" ht="15" thickBot="1" x14ac:dyDescent="0.4">
      <c r="A43" s="4"/>
      <c r="B43" s="4"/>
      <c r="C43" s="4"/>
      <c r="D43" s="4"/>
      <c r="E43" s="4"/>
      <c r="G43" s="51">
        <f>SUM(G38:G41)</f>
        <v>24954</v>
      </c>
      <c r="H43" s="51">
        <f>SUM(H38:H41)</f>
        <v>0</v>
      </c>
      <c r="I43" s="51">
        <f>SUM(I38:I41)</f>
        <v>0</v>
      </c>
      <c r="J43" s="51">
        <f>SUM(J38:J41)</f>
        <v>28980</v>
      </c>
      <c r="M43" s="194"/>
      <c r="U43" s="194"/>
    </row>
    <row r="44" spans="1:21" ht="15" thickBot="1" x14ac:dyDescent="0.4">
      <c r="A44" s="19"/>
      <c r="B44" s="19"/>
      <c r="C44" s="19"/>
      <c r="D44" s="19"/>
      <c r="E44" s="19"/>
      <c r="F44" s="19"/>
      <c r="G44" s="210">
        <f>+G43+H43+J43+I43</f>
        <v>53934</v>
      </c>
      <c r="H44" s="211"/>
      <c r="I44" s="211"/>
      <c r="J44" s="212"/>
      <c r="M44" s="194"/>
      <c r="U44" s="194"/>
    </row>
    <row r="45" spans="1:21" x14ac:dyDescent="0.35">
      <c r="M45" s="194"/>
      <c r="U45" s="194"/>
    </row>
    <row r="46" spans="1:21" x14ac:dyDescent="0.35">
      <c r="M46" s="194"/>
      <c r="U46" s="194"/>
    </row>
    <row r="47" spans="1:21" x14ac:dyDescent="0.35">
      <c r="A47" s="208" t="s">
        <v>133</v>
      </c>
      <c r="B47" s="209"/>
      <c r="C47" s="209"/>
      <c r="D47" s="209"/>
      <c r="E47" s="209"/>
      <c r="F47" s="4"/>
      <c r="G47" s="4"/>
      <c r="H47" s="4"/>
      <c r="I47" s="4"/>
      <c r="J47" s="4"/>
      <c r="K47" s="4"/>
      <c r="M47" s="194"/>
      <c r="N47" s="218">
        <v>0.09</v>
      </c>
      <c r="O47" s="219"/>
      <c r="U47" s="194"/>
    </row>
    <row r="48" spans="1:21" ht="15" thickBot="1" x14ac:dyDescent="0.4">
      <c r="A48" s="4"/>
      <c r="B48" s="174" t="s">
        <v>7</v>
      </c>
      <c r="C48" s="174" t="s">
        <v>139</v>
      </c>
      <c r="D48" s="174" t="s">
        <v>139</v>
      </c>
      <c r="E48" s="174" t="s">
        <v>8</v>
      </c>
      <c r="F48" s="4"/>
      <c r="G48" s="4" t="s">
        <v>134</v>
      </c>
      <c r="H48" s="54">
        <f>IF(B38&gt;0,Calculos!E55,0)</f>
        <v>2618</v>
      </c>
      <c r="I48" s="54">
        <f>IF(C38&gt;0,Calculos!F55,0)</f>
        <v>0</v>
      </c>
      <c r="J48" s="54">
        <f>IF(D38&gt;0,Calculos!G55,0)</f>
        <v>0</v>
      </c>
      <c r="K48" s="54">
        <f>IF(E38&gt;0,Calculos!H55,0)</f>
        <v>3403.4</v>
      </c>
      <c r="M48" s="194"/>
      <c r="N48" s="120" t="s">
        <v>160</v>
      </c>
      <c r="O48" s="119">
        <f>H53*N47</f>
        <v>732.24</v>
      </c>
      <c r="U48" s="194"/>
    </row>
    <row r="49" spans="1:21" ht="16.5" thickBot="1" x14ac:dyDescent="0.45">
      <c r="A49" s="59" t="s">
        <v>14</v>
      </c>
      <c r="B49" s="18">
        <v>0</v>
      </c>
      <c r="C49" s="18">
        <v>0</v>
      </c>
      <c r="D49" s="18">
        <v>0</v>
      </c>
      <c r="E49" s="18">
        <v>0</v>
      </c>
      <c r="F49" s="4"/>
      <c r="G49" s="4" t="s">
        <v>135</v>
      </c>
      <c r="H49" s="54">
        <f>Calculos!E56</f>
        <v>0</v>
      </c>
      <c r="I49" s="54">
        <f>Calculos!F56</f>
        <v>0</v>
      </c>
      <c r="J49" s="54">
        <f>Calculos!G56</f>
        <v>0</v>
      </c>
      <c r="K49" s="54">
        <f>Calculos!H56</f>
        <v>0</v>
      </c>
      <c r="M49" s="194"/>
      <c r="N49" s="120" t="s">
        <v>161</v>
      </c>
      <c r="O49" s="119">
        <f>I53*N47</f>
        <v>0</v>
      </c>
      <c r="U49" s="194"/>
    </row>
    <row r="50" spans="1:21" ht="16.5" thickBot="1" x14ac:dyDescent="0.45">
      <c r="A50" s="59" t="s">
        <v>136</v>
      </c>
      <c r="B50" s="18">
        <v>1</v>
      </c>
      <c r="C50" s="18">
        <v>0</v>
      </c>
      <c r="D50" s="18">
        <v>0</v>
      </c>
      <c r="E50" s="18">
        <v>0</v>
      </c>
      <c r="F50" s="4"/>
      <c r="G50" s="88" t="s">
        <v>137</v>
      </c>
      <c r="H50" s="54">
        <f>Calculos!E57</f>
        <v>2618</v>
      </c>
      <c r="I50" s="54">
        <f>Calculos!F57</f>
        <v>0</v>
      </c>
      <c r="J50" s="54">
        <f>Calculos!G57</f>
        <v>0</v>
      </c>
      <c r="K50" s="54">
        <f>Calculos!H57</f>
        <v>0</v>
      </c>
      <c r="M50" s="194"/>
      <c r="N50" s="120" t="s">
        <v>161</v>
      </c>
      <c r="O50" s="119">
        <f>J53*N47</f>
        <v>0</v>
      </c>
      <c r="U50" s="194"/>
    </row>
    <row r="51" spans="1:21" x14ac:dyDescent="0.35">
      <c r="A51" s="4"/>
      <c r="B51" s="4"/>
      <c r="C51" s="4"/>
      <c r="D51" s="4"/>
      <c r="E51" s="4"/>
      <c r="F51" s="4"/>
      <c r="G51" s="4" t="s">
        <v>138</v>
      </c>
      <c r="H51" s="54">
        <f>Calculos!E58</f>
        <v>2900</v>
      </c>
      <c r="I51" s="54">
        <f>Calculos!F58</f>
        <v>0</v>
      </c>
      <c r="J51" s="54">
        <f>Calculos!G58</f>
        <v>0</v>
      </c>
      <c r="K51" s="54">
        <f>Calculos!H58</f>
        <v>2900</v>
      </c>
      <c r="M51" s="194"/>
      <c r="N51" s="120" t="s">
        <v>162</v>
      </c>
      <c r="O51" s="119">
        <f>K53*N47</f>
        <v>567.30599999999993</v>
      </c>
      <c r="U51" s="194"/>
    </row>
    <row r="52" spans="1:21" x14ac:dyDescent="0.35">
      <c r="A52" s="4"/>
      <c r="B52" s="4"/>
      <c r="C52" s="4"/>
      <c r="D52" s="4"/>
      <c r="E52" s="4"/>
      <c r="F52" s="4"/>
      <c r="G52" s="4" t="s">
        <v>163</v>
      </c>
      <c r="H52" s="54"/>
      <c r="I52" s="54"/>
      <c r="J52" s="54"/>
      <c r="K52" s="122"/>
      <c r="M52" s="194"/>
      <c r="N52" s="120"/>
      <c r="O52" s="119"/>
      <c r="U52" s="194"/>
    </row>
    <row r="53" spans="1:21" ht="15" thickBot="1" x14ac:dyDescent="0.4">
      <c r="A53" s="4"/>
      <c r="B53" s="4"/>
      <c r="C53" s="4"/>
      <c r="D53" s="4"/>
      <c r="E53" s="4"/>
      <c r="F53" s="4"/>
      <c r="G53" s="4" t="s">
        <v>53</v>
      </c>
      <c r="H53" s="51">
        <f>SUM(H48:H51)</f>
        <v>8136</v>
      </c>
      <c r="I53" s="51">
        <f>SUM(I48:I51)</f>
        <v>0</v>
      </c>
      <c r="J53" s="51">
        <f>SUM(J48:J51)</f>
        <v>0</v>
      </c>
      <c r="K53" s="51">
        <f>SUM(K48:K52)</f>
        <v>6303.4</v>
      </c>
      <c r="M53" s="194"/>
      <c r="U53" s="194"/>
    </row>
    <row r="54" spans="1:21" ht="15" thickBot="1" x14ac:dyDescent="0.4">
      <c r="A54" s="19"/>
      <c r="B54" s="19"/>
      <c r="C54" s="19"/>
      <c r="D54" s="19"/>
      <c r="E54" s="19"/>
      <c r="F54" s="19"/>
      <c r="G54" s="19"/>
      <c r="H54" s="210">
        <f>+H53+I53+K53+J53</f>
        <v>14439.4</v>
      </c>
      <c r="I54" s="211"/>
      <c r="J54" s="211"/>
      <c r="K54" s="212"/>
      <c r="M54" s="194"/>
      <c r="U54" s="194"/>
    </row>
    <row r="55" spans="1:21" x14ac:dyDescent="0.35">
      <c r="M55" s="194"/>
      <c r="U55" s="194"/>
    </row>
    <row r="56" spans="1:21" x14ac:dyDescent="0.35">
      <c r="M56" s="194"/>
      <c r="U56" s="194"/>
    </row>
    <row r="57" spans="1:21" x14ac:dyDescent="0.35">
      <c r="M57" s="194"/>
      <c r="U57" s="194"/>
    </row>
  </sheetData>
  <mergeCells count="21">
    <mergeCell ref="B3:E3"/>
    <mergeCell ref="B5:C5"/>
    <mergeCell ref="A8:B8"/>
    <mergeCell ref="A16:B16"/>
    <mergeCell ref="A19:B19"/>
    <mergeCell ref="S26:T26"/>
    <mergeCell ref="N22:U22"/>
    <mergeCell ref="O27:P27"/>
    <mergeCell ref="A47:E47"/>
    <mergeCell ref="H54:K54"/>
    <mergeCell ref="A36:J36"/>
    <mergeCell ref="G44:J44"/>
    <mergeCell ref="B22:C22"/>
    <mergeCell ref="B23:C23"/>
    <mergeCell ref="A26:F26"/>
    <mergeCell ref="A33:D33"/>
    <mergeCell ref="N47:O47"/>
    <mergeCell ref="Q36:R36"/>
    <mergeCell ref="Q38:R38"/>
    <mergeCell ref="Q41:R41"/>
    <mergeCell ref="N37:R37"/>
  </mergeCells>
  <pageMargins left="0.7" right="0.7" top="0.75" bottom="0.75" header="0.3" footer="0.3"/>
  <pageSetup orientation="portrait" horizontalDpi="0" verticalDpi="0" r:id="rId1"/>
  <ignoredErrors>
    <ignoredError sqref="I39" formula="1"/>
  </ignoredErrors>
  <extLst>
    <ext xmlns:x14="http://schemas.microsoft.com/office/spreadsheetml/2009/9/main" uri="{CCE6A557-97BC-4b89-ADB6-D9C93CAAB3DF}">
      <x14:dataValidations xmlns:xm="http://schemas.microsoft.com/office/excel/2006/main" count="4">
        <x14:dataValidation type="list" allowBlank="1" showInputMessage="1" showErrorMessage="1" xr:uid="{75843FE8-3588-4463-A286-0A20F11A3927}">
          <x14:formula1>
            <xm:f>Calculos!$O$2:$O$4</xm:f>
          </x14:formula1>
          <xm:sqref>G26</xm:sqref>
        </x14:dataValidation>
        <x14:dataValidation type="list" allowBlank="1" showInputMessage="1" showErrorMessage="1" xr:uid="{7DA1305A-7826-4281-8E0F-2D4458CFEBFE}">
          <x14:formula1>
            <xm:f>Calculos!$U$2:$U$30</xm:f>
          </x14:formula1>
          <xm:sqref>B10</xm:sqref>
        </x14:dataValidation>
        <x14:dataValidation type="list" allowBlank="1" showInputMessage="1" showErrorMessage="1" xr:uid="{A8CC4A38-7D8C-4912-919B-9D6F1873F7E2}">
          <x14:formula1>
            <xm:f>Calculos!$T$2:$T$12</xm:f>
          </x14:formula1>
          <xm:sqref>B9</xm:sqref>
        </x14:dataValidation>
        <x14:dataValidation type="list" allowBlank="1" showInputMessage="1" showErrorMessage="1" xr:uid="{33EDA9A4-B4BB-438D-9FBF-1699BF17E830}">
          <x14:formula1>
            <xm:f>Calculos!$V$2:$V$61</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464A-3770-4115-988A-B41AE5CBB505}">
  <sheetPr>
    <pageSetUpPr fitToPage="1"/>
  </sheetPr>
  <dimension ref="B6:F62"/>
  <sheetViews>
    <sheetView tabSelected="1" topLeftCell="A24" zoomScale="80" zoomScaleNormal="80" workbookViewId="0">
      <selection activeCell="D24" sqref="D24"/>
    </sheetView>
  </sheetViews>
  <sheetFormatPr baseColWidth="10" defaultColWidth="9.1796875" defaultRowHeight="14.5" x14ac:dyDescent="0.35"/>
  <cols>
    <col min="2" max="2" width="49.1796875" customWidth="1"/>
    <col min="3" max="3" width="22.54296875" customWidth="1"/>
    <col min="4" max="4" width="24.26953125" customWidth="1"/>
    <col min="5" max="5" width="9.1796875" customWidth="1"/>
    <col min="6" max="6" width="76.6328125" customWidth="1"/>
  </cols>
  <sheetData>
    <row r="6" spans="2:4" ht="18" customHeight="1" x14ac:dyDescent="0.35"/>
    <row r="7" spans="2:4" ht="18" customHeight="1" x14ac:dyDescent="0.35"/>
    <row r="8" spans="2:4" ht="18" customHeight="1" x14ac:dyDescent="0.35"/>
    <row r="10" spans="2:4" x14ac:dyDescent="0.35">
      <c r="C10" s="85"/>
      <c r="D10" s="85" t="s">
        <v>351</v>
      </c>
    </row>
    <row r="11" spans="2:4" ht="15" thickBot="1" x14ac:dyDescent="0.4">
      <c r="B11" s="20"/>
      <c r="C11" s="85" t="s">
        <v>340</v>
      </c>
      <c r="D11" s="200" t="s">
        <v>341</v>
      </c>
    </row>
    <row r="12" spans="2:4" ht="15" thickBot="1" x14ac:dyDescent="0.4">
      <c r="B12" s="21" t="s">
        <v>29</v>
      </c>
      <c r="C12" s="22" t="s">
        <v>347</v>
      </c>
      <c r="D12" s="22" t="s">
        <v>347</v>
      </c>
    </row>
    <row r="13" spans="2:4" x14ac:dyDescent="0.35">
      <c r="B13" s="23" t="s">
        <v>30</v>
      </c>
      <c r="C13" s="22" t="s">
        <v>348</v>
      </c>
      <c r="D13" s="22" t="s">
        <v>348</v>
      </c>
    </row>
    <row r="14" spans="2:4" x14ac:dyDescent="0.35">
      <c r="B14" s="23" t="s">
        <v>31</v>
      </c>
      <c r="C14" s="22" t="s">
        <v>349</v>
      </c>
      <c r="D14" s="22" t="s">
        <v>349</v>
      </c>
    </row>
    <row r="15" spans="2:4" x14ac:dyDescent="0.35">
      <c r="B15" s="23" t="s">
        <v>32</v>
      </c>
      <c r="C15" s="27" t="s">
        <v>350</v>
      </c>
      <c r="D15" s="27" t="s">
        <v>350</v>
      </c>
    </row>
    <row r="16" spans="2:4" ht="15" thickBot="1" x14ac:dyDescent="0.4">
      <c r="B16" s="23" t="s">
        <v>33</v>
      </c>
      <c r="C16" s="22" t="s">
        <v>34</v>
      </c>
      <c r="D16" s="22" t="s">
        <v>34</v>
      </c>
    </row>
    <row r="17" spans="2:6" ht="15" thickBot="1" x14ac:dyDescent="0.4">
      <c r="B17" s="21" t="s">
        <v>35</v>
      </c>
      <c r="C17" s="21" t="s">
        <v>36</v>
      </c>
      <c r="D17" s="21" t="s">
        <v>36</v>
      </c>
    </row>
    <row r="18" spans="2:6" x14ac:dyDescent="0.35">
      <c r="B18" s="23" t="s">
        <v>37</v>
      </c>
      <c r="C18" s="24">
        <v>14201</v>
      </c>
      <c r="D18" s="24">
        <f>Upriver!A19</f>
        <v>20090.259999999998</v>
      </c>
      <c r="F18" t="s">
        <v>343</v>
      </c>
    </row>
    <row r="19" spans="2:6" x14ac:dyDescent="0.35">
      <c r="B19" s="23" t="s">
        <v>38</v>
      </c>
      <c r="C19" s="24">
        <v>1359</v>
      </c>
      <c r="D19" s="24">
        <v>1902</v>
      </c>
      <c r="F19" t="s">
        <v>354</v>
      </c>
    </row>
    <row r="20" spans="2:6" x14ac:dyDescent="0.35">
      <c r="B20" s="23" t="s">
        <v>39</v>
      </c>
      <c r="C20" s="24">
        <v>90432</v>
      </c>
      <c r="D20" s="24">
        <v>115544</v>
      </c>
      <c r="F20" t="s">
        <v>358</v>
      </c>
    </row>
    <row r="21" spans="2:6" x14ac:dyDescent="0.35">
      <c r="B21" s="23" t="s">
        <v>40</v>
      </c>
      <c r="C21" s="24">
        <v>39328</v>
      </c>
      <c r="D21" s="24">
        <f>(7480+9724+15956*2)*0.84</f>
        <v>41257.439999999995</v>
      </c>
      <c r="F21" t="s">
        <v>355</v>
      </c>
    </row>
    <row r="22" spans="2:6" x14ac:dyDescent="0.35">
      <c r="B22" s="23" t="s">
        <v>103</v>
      </c>
      <c r="C22" s="24"/>
      <c r="D22" s="24">
        <f>1800*0.84</f>
        <v>1512</v>
      </c>
      <c r="F22" t="s">
        <v>356</v>
      </c>
    </row>
    <row r="23" spans="2:6" x14ac:dyDescent="0.35">
      <c r="B23" s="23" t="s">
        <v>41</v>
      </c>
      <c r="C23" s="24"/>
      <c r="D23" s="24">
        <f>2618*0.84</f>
        <v>2199.12</v>
      </c>
      <c r="F23" t="s">
        <v>357</v>
      </c>
    </row>
    <row r="24" spans="2:6" x14ac:dyDescent="0.35">
      <c r="B24" s="23" t="s">
        <v>42</v>
      </c>
      <c r="C24" s="24">
        <v>39865</v>
      </c>
      <c r="D24" s="24">
        <f>(12376+15652+9960*2)*0.88</f>
        <v>42194.239999999998</v>
      </c>
      <c r="F24" t="s">
        <v>364</v>
      </c>
    </row>
    <row r="25" spans="2:6" x14ac:dyDescent="0.35">
      <c r="B25" s="23" t="s">
        <v>131</v>
      </c>
      <c r="C25" s="24"/>
      <c r="D25" s="24">
        <f>750*0.88</f>
        <v>660</v>
      </c>
    </row>
    <row r="26" spans="2:6" x14ac:dyDescent="0.35">
      <c r="B26" s="23" t="s">
        <v>132</v>
      </c>
      <c r="C26" s="24"/>
      <c r="D26" s="24">
        <f>5236*0.88</f>
        <v>4607.68</v>
      </c>
      <c r="E26" s="191"/>
    </row>
    <row r="27" spans="2:6" x14ac:dyDescent="0.35">
      <c r="B27" s="23" t="s">
        <v>43</v>
      </c>
      <c r="C27" s="24">
        <v>9190</v>
      </c>
      <c r="D27" s="24">
        <f>(5236+3403.4+2900*2)*0.91</f>
        <v>13139.853999999999</v>
      </c>
    </row>
    <row r="28" spans="2:6" x14ac:dyDescent="0.35">
      <c r="B28" s="23" t="s">
        <v>44</v>
      </c>
      <c r="C28" s="24">
        <v>575</v>
      </c>
      <c r="D28" s="24">
        <v>1150</v>
      </c>
    </row>
    <row r="29" spans="2:6" x14ac:dyDescent="0.35">
      <c r="B29" s="23" t="s">
        <v>45</v>
      </c>
      <c r="C29" s="24">
        <v>3300</v>
      </c>
      <c r="D29" s="24">
        <v>3300</v>
      </c>
    </row>
    <row r="30" spans="2:6" x14ac:dyDescent="0.35">
      <c r="B30" s="23" t="s">
        <v>46</v>
      </c>
      <c r="C30" s="24">
        <v>200</v>
      </c>
      <c r="D30" s="24">
        <v>530</v>
      </c>
    </row>
    <row r="31" spans="2:6" x14ac:dyDescent="0.35">
      <c r="B31" s="23" t="s">
        <v>352</v>
      </c>
      <c r="C31" s="24"/>
      <c r="D31" s="24">
        <v>200</v>
      </c>
    </row>
    <row r="32" spans="2:6" x14ac:dyDescent="0.35">
      <c r="B32" s="23" t="s">
        <v>47</v>
      </c>
      <c r="C32" s="24">
        <v>1875</v>
      </c>
      <c r="D32" s="24">
        <v>1875</v>
      </c>
    </row>
    <row r="33" spans="2:4" x14ac:dyDescent="0.35">
      <c r="B33" s="23" t="s">
        <v>48</v>
      </c>
      <c r="C33" s="24">
        <v>597</v>
      </c>
      <c r="D33" s="24">
        <v>486</v>
      </c>
    </row>
    <row r="34" spans="2:4" x14ac:dyDescent="0.35">
      <c r="B34" s="23" t="s">
        <v>49</v>
      </c>
      <c r="C34" s="24">
        <v>96</v>
      </c>
      <c r="D34" s="24">
        <v>93</v>
      </c>
    </row>
    <row r="35" spans="2:4" x14ac:dyDescent="0.35">
      <c r="B35" s="23" t="s">
        <v>50</v>
      </c>
      <c r="C35" s="24">
        <v>1350</v>
      </c>
      <c r="D35" s="24">
        <v>1812</v>
      </c>
    </row>
    <row r="36" spans="2:4" x14ac:dyDescent="0.35">
      <c r="B36" s="23" t="s">
        <v>51</v>
      </c>
      <c r="C36" s="24">
        <v>2992</v>
      </c>
      <c r="D36" s="24">
        <f>2355*0.9</f>
        <v>2119.5</v>
      </c>
    </row>
    <row r="37" spans="2:4" x14ac:dyDescent="0.35">
      <c r="B37" s="23" t="s">
        <v>363</v>
      </c>
      <c r="C37" s="24"/>
      <c r="D37" s="24">
        <v>1725</v>
      </c>
    </row>
    <row r="38" spans="2:4" x14ac:dyDescent="0.35">
      <c r="B38" s="23" t="s">
        <v>365</v>
      </c>
      <c r="C38" s="24"/>
      <c r="D38" s="24">
        <v>1340</v>
      </c>
    </row>
    <row r="39" spans="2:4" x14ac:dyDescent="0.35">
      <c r="B39" s="23" t="s">
        <v>366</v>
      </c>
      <c r="C39" s="24"/>
      <c r="D39" s="24">
        <v>960</v>
      </c>
    </row>
    <row r="40" spans="2:4" x14ac:dyDescent="0.35">
      <c r="B40" s="23" t="s">
        <v>353</v>
      </c>
      <c r="C40" s="24"/>
      <c r="D40" s="24">
        <v>650</v>
      </c>
    </row>
    <row r="41" spans="2:4" x14ac:dyDescent="0.35">
      <c r="B41" s="23" t="s">
        <v>359</v>
      </c>
      <c r="C41" s="24"/>
      <c r="D41" s="24">
        <v>1150</v>
      </c>
    </row>
    <row r="42" spans="2:4" x14ac:dyDescent="0.35">
      <c r="B42" s="23" t="s">
        <v>360</v>
      </c>
      <c r="C42" s="24"/>
      <c r="D42" s="24">
        <v>1010</v>
      </c>
    </row>
    <row r="43" spans="2:4" x14ac:dyDescent="0.35">
      <c r="B43" s="23" t="s">
        <v>361</v>
      </c>
      <c r="C43" s="24"/>
      <c r="D43" s="24">
        <v>600</v>
      </c>
    </row>
    <row r="44" spans="2:4" x14ac:dyDescent="0.35">
      <c r="B44" s="23" t="s">
        <v>362</v>
      </c>
      <c r="C44" s="24"/>
      <c r="D44" s="24">
        <v>200</v>
      </c>
    </row>
    <row r="45" spans="2:4" x14ac:dyDescent="0.35">
      <c r="B45" s="23" t="s">
        <v>52</v>
      </c>
      <c r="C45" s="24">
        <v>2000</v>
      </c>
      <c r="D45" s="24">
        <v>2000</v>
      </c>
    </row>
    <row r="46" spans="2:4" ht="15" thickBot="1" x14ac:dyDescent="0.4"/>
    <row r="47" spans="2:4" ht="15" thickBot="1" x14ac:dyDescent="0.4">
      <c r="B47" s="25" t="s">
        <v>53</v>
      </c>
      <c r="C47" s="26">
        <f>SUM(C18:C45)</f>
        <v>207360</v>
      </c>
      <c r="D47" s="26">
        <f>SUM(D18:D45)</f>
        <v>264307.09399999998</v>
      </c>
    </row>
    <row r="49" spans="2:2" x14ac:dyDescent="0.35">
      <c r="B49" s="23" t="s">
        <v>54</v>
      </c>
    </row>
    <row r="50" spans="2:2" x14ac:dyDescent="0.35">
      <c r="B50" s="23" t="s">
        <v>55</v>
      </c>
    </row>
    <row r="51" spans="2:2" x14ac:dyDescent="0.35">
      <c r="B51" s="23" t="s">
        <v>56</v>
      </c>
    </row>
    <row r="52" spans="2:2" ht="15" thickBot="1" x14ac:dyDescent="0.4">
      <c r="B52" s="23" t="s">
        <v>57</v>
      </c>
    </row>
    <row r="53" spans="2:2" ht="15" thickBot="1" x14ac:dyDescent="0.4">
      <c r="B53" s="201" t="s">
        <v>58</v>
      </c>
    </row>
    <row r="54" spans="2:2" ht="15" thickBot="1" x14ac:dyDescent="0.4">
      <c r="B54" s="201"/>
    </row>
    <row r="55" spans="2:2" ht="15" thickBot="1" x14ac:dyDescent="0.4">
      <c r="B55" s="201"/>
    </row>
    <row r="56" spans="2:2" ht="1" customHeight="1" thickBot="1" x14ac:dyDescent="0.4">
      <c r="B56" s="201"/>
    </row>
    <row r="57" spans="2:2" ht="15" hidden="1" thickBot="1" x14ac:dyDescent="0.4">
      <c r="B57" s="201"/>
    </row>
    <row r="58" spans="2:2" x14ac:dyDescent="0.35">
      <c r="B58" s="202" t="s">
        <v>59</v>
      </c>
    </row>
    <row r="59" spans="2:2" x14ac:dyDescent="0.35">
      <c r="B59" s="202"/>
    </row>
    <row r="60" spans="2:2" x14ac:dyDescent="0.35">
      <c r="B60" s="202"/>
    </row>
    <row r="61" spans="2:2" x14ac:dyDescent="0.35">
      <c r="B61" s="202"/>
    </row>
    <row r="62" spans="2:2" ht="29.5" customHeight="1" x14ac:dyDescent="0.35">
      <c r="B62" s="202"/>
    </row>
  </sheetData>
  <mergeCells count="2">
    <mergeCell ref="B53:B57"/>
    <mergeCell ref="B58:B62"/>
  </mergeCells>
  <pageMargins left="1" right="0.7" top="0.75" bottom="0.75" header="0.3" footer="0.3"/>
  <pageSetup paperSize="9" scale="80" orientation="portrait" r:id="rId1"/>
  <headerFoot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1C33-0A0B-4184-8252-5C50E0D6B2D2}">
  <dimension ref="B1:K36"/>
  <sheetViews>
    <sheetView showGridLines="0" zoomScale="85" zoomScaleNormal="85" workbookViewId="0">
      <selection activeCell="E8" sqref="E8"/>
    </sheetView>
  </sheetViews>
  <sheetFormatPr baseColWidth="10" defaultRowHeight="14.5" x14ac:dyDescent="0.35"/>
  <cols>
    <col min="2" max="2" width="46.453125" bestFit="1" customWidth="1"/>
    <col min="3" max="3" width="31.453125" bestFit="1" customWidth="1"/>
    <col min="4" max="4" width="16.81640625" style="85" bestFit="1" customWidth="1"/>
    <col min="6" max="6" width="11.54296875" style="124"/>
    <col min="7" max="8" width="15.54296875" style="125" bestFit="1" customWidth="1"/>
    <col min="9" max="9" width="12.1796875" bestFit="1" customWidth="1"/>
  </cols>
  <sheetData>
    <row r="1" spans="2:10" ht="15" thickBot="1" x14ac:dyDescent="0.4"/>
    <row r="2" spans="2:10" ht="15" thickBot="1" x14ac:dyDescent="0.4">
      <c r="B2" s="126" t="s">
        <v>244</v>
      </c>
      <c r="C2" s="127"/>
      <c r="F2" s="128">
        <v>0.1</v>
      </c>
      <c r="H2" s="129" t="s">
        <v>245</v>
      </c>
      <c r="I2" s="130">
        <v>1100</v>
      </c>
    </row>
    <row r="3" spans="2:10" ht="15" thickBot="1" x14ac:dyDescent="0.4">
      <c r="H3" s="129" t="s">
        <v>246</v>
      </c>
      <c r="I3" s="130">
        <v>1058</v>
      </c>
    </row>
    <row r="4" spans="2:10" ht="15" thickBot="1" x14ac:dyDescent="0.4">
      <c r="B4" s="131"/>
      <c r="C4" s="132"/>
      <c r="D4" s="133"/>
      <c r="E4" s="85"/>
      <c r="F4" s="134"/>
      <c r="G4" s="135"/>
      <c r="H4" s="129" t="s">
        <v>247</v>
      </c>
      <c r="I4" s="130">
        <v>1080</v>
      </c>
      <c r="J4" s="136" t="s">
        <v>248</v>
      </c>
    </row>
    <row r="5" spans="2:10" ht="15" thickBot="1" x14ac:dyDescent="0.4">
      <c r="B5" s="137" t="s">
        <v>249</v>
      </c>
      <c r="C5" s="138" t="s">
        <v>250</v>
      </c>
      <c r="D5" s="138" t="s">
        <v>251</v>
      </c>
      <c r="E5" s="139" t="s">
        <v>252</v>
      </c>
      <c r="F5" s="140" t="s">
        <v>253</v>
      </c>
      <c r="G5" s="141" t="s">
        <v>254</v>
      </c>
      <c r="H5" s="141" t="s">
        <v>255</v>
      </c>
      <c r="I5" s="142" t="s">
        <v>256</v>
      </c>
    </row>
    <row r="6" spans="2:10" x14ac:dyDescent="0.35">
      <c r="B6" s="146" t="s">
        <v>265</v>
      </c>
      <c r="C6" s="143">
        <f>Ajustada!D20-Financiero!C29</f>
        <v>106520</v>
      </c>
      <c r="D6" s="143"/>
      <c r="E6" s="85">
        <f>I3</f>
        <v>1058</v>
      </c>
      <c r="F6" s="134">
        <f t="shared" ref="F6:F31" si="0">+$E6/$I$2-1</f>
        <v>-3.8181818181818206E-2</v>
      </c>
      <c r="G6" s="135">
        <f t="shared" ref="G6:G31" si="1">+C6*F6</f>
        <v>-4067.1272727272753</v>
      </c>
      <c r="H6" s="135">
        <f t="shared" ref="H6:H31" si="2">-(G6)*$F$2</f>
        <v>406.71272727272753</v>
      </c>
      <c r="I6" s="145">
        <f t="shared" ref="I6:I28" si="3">C6+G6+H6</f>
        <v>102859.58545454545</v>
      </c>
    </row>
    <row r="7" spans="2:10" x14ac:dyDescent="0.35">
      <c r="B7" s="146" t="s">
        <v>264</v>
      </c>
      <c r="C7" s="143">
        <f>SUM(C6)*0.012</f>
        <v>1278.24</v>
      </c>
      <c r="D7" s="143"/>
      <c r="E7" s="85">
        <f>I3</f>
        <v>1058</v>
      </c>
      <c r="F7" s="134">
        <f t="shared" si="0"/>
        <v>-3.8181818181818206E-2</v>
      </c>
      <c r="G7" s="135">
        <f t="shared" si="1"/>
        <v>-48.805527272727304</v>
      </c>
      <c r="H7" s="135">
        <f t="shared" si="2"/>
        <v>4.8805527272727307</v>
      </c>
      <c r="I7" s="145">
        <f t="shared" si="3"/>
        <v>1234.3150254545455</v>
      </c>
    </row>
    <row r="8" spans="2:10" x14ac:dyDescent="0.35">
      <c r="B8" s="147" t="s">
        <v>9</v>
      </c>
      <c r="C8" s="143">
        <f>Ajustada!D18</f>
        <v>20090.259999999998</v>
      </c>
      <c r="D8" s="143"/>
      <c r="E8" s="85">
        <f t="shared" ref="E8:E28" si="4">$I$3</f>
        <v>1058</v>
      </c>
      <c r="F8" s="134">
        <f t="shared" si="0"/>
        <v>-3.8181818181818206E-2</v>
      </c>
      <c r="G8" s="135">
        <f t="shared" si="1"/>
        <v>-767.08265454545494</v>
      </c>
      <c r="H8" s="135">
        <f t="shared" si="2"/>
        <v>76.708265454545497</v>
      </c>
      <c r="I8" s="145">
        <f t="shared" si="3"/>
        <v>19399.885610909088</v>
      </c>
    </row>
    <row r="9" spans="2:10" x14ac:dyDescent="0.35">
      <c r="B9" s="147" t="s">
        <v>266</v>
      </c>
      <c r="C9" s="143">
        <f>Ajustada!D19</f>
        <v>1902</v>
      </c>
      <c r="D9" s="143"/>
      <c r="E9" s="85">
        <f t="shared" si="4"/>
        <v>1058</v>
      </c>
      <c r="F9" s="134">
        <f t="shared" si="0"/>
        <v>-3.8181818181818206E-2</v>
      </c>
      <c r="G9" s="135">
        <f t="shared" si="1"/>
        <v>-72.621818181818227</v>
      </c>
      <c r="H9" s="135">
        <f t="shared" si="2"/>
        <v>7.2621818181818227</v>
      </c>
      <c r="I9" s="145">
        <f t="shared" si="3"/>
        <v>1836.6403636363634</v>
      </c>
    </row>
    <row r="10" spans="2:10" x14ac:dyDescent="0.35">
      <c r="B10" s="198" t="s">
        <v>257</v>
      </c>
      <c r="C10" s="143">
        <f>Ajustada!D21-C30</f>
        <v>32377.439999999995</v>
      </c>
      <c r="D10" s="143"/>
      <c r="E10" s="85">
        <f t="shared" si="4"/>
        <v>1058</v>
      </c>
      <c r="F10" s="134">
        <f t="shared" si="0"/>
        <v>-3.8181818181818206E-2</v>
      </c>
      <c r="G10" s="135">
        <f t="shared" ref="G10:G16" si="5">+C10*F10</f>
        <v>-1236.2295272727279</v>
      </c>
      <c r="H10" s="135">
        <f t="shared" ref="H10:H16" si="6">-(G10)*$F$2</f>
        <v>123.62295272727279</v>
      </c>
      <c r="I10" s="145">
        <f t="shared" ref="I10:I16" si="7">C10+G10+H10</f>
        <v>31264.833425454541</v>
      </c>
    </row>
    <row r="11" spans="2:10" x14ac:dyDescent="0.35">
      <c r="B11" s="199" t="s">
        <v>258</v>
      </c>
      <c r="C11" s="143">
        <f>Ajustada!D22</f>
        <v>1512</v>
      </c>
      <c r="D11" s="143"/>
      <c r="E11" s="85">
        <f t="shared" si="4"/>
        <v>1058</v>
      </c>
      <c r="F11" s="134">
        <f t="shared" si="0"/>
        <v>-3.8181818181818206E-2</v>
      </c>
      <c r="G11" s="135">
        <f t="shared" si="5"/>
        <v>-57.73090909090913</v>
      </c>
      <c r="H11" s="135">
        <f t="shared" si="6"/>
        <v>5.7730909090909135</v>
      </c>
      <c r="I11" s="145">
        <f t="shared" si="7"/>
        <v>1460.0421818181819</v>
      </c>
    </row>
    <row r="12" spans="2:10" x14ac:dyDescent="0.35">
      <c r="B12" s="199" t="s">
        <v>259</v>
      </c>
      <c r="C12" s="143">
        <f>Ajustada!D23</f>
        <v>2199.12</v>
      </c>
      <c r="D12" s="143"/>
      <c r="E12" s="85">
        <f t="shared" si="4"/>
        <v>1058</v>
      </c>
      <c r="F12" s="134">
        <f t="shared" si="0"/>
        <v>-3.8181818181818206E-2</v>
      </c>
      <c r="G12" s="135">
        <f t="shared" si="5"/>
        <v>-83.96640000000005</v>
      </c>
      <c r="H12" s="135">
        <f t="shared" si="6"/>
        <v>8.396640000000005</v>
      </c>
      <c r="I12" s="145">
        <f t="shared" si="7"/>
        <v>2123.5502399999996</v>
      </c>
    </row>
    <row r="13" spans="2:10" x14ac:dyDescent="0.35">
      <c r="B13" s="199" t="s">
        <v>260</v>
      </c>
      <c r="C13" s="143">
        <f>Ajustada!D24</f>
        <v>42194.239999999998</v>
      </c>
      <c r="D13" s="143"/>
      <c r="E13" s="85">
        <f t="shared" si="4"/>
        <v>1058</v>
      </c>
      <c r="F13" s="134">
        <f t="shared" si="0"/>
        <v>-3.8181818181818206E-2</v>
      </c>
      <c r="G13" s="135">
        <f t="shared" si="5"/>
        <v>-1611.0528000000008</v>
      </c>
      <c r="H13" s="135">
        <f t="shared" si="6"/>
        <v>161.10528000000011</v>
      </c>
      <c r="I13" s="145">
        <f t="shared" si="7"/>
        <v>40744.292480000004</v>
      </c>
    </row>
    <row r="14" spans="2:10" x14ac:dyDescent="0.35">
      <c r="B14" s="199" t="s">
        <v>261</v>
      </c>
      <c r="C14" s="143">
        <f>Ajustada!D25</f>
        <v>660</v>
      </c>
      <c r="D14" s="143"/>
      <c r="E14" s="85">
        <f t="shared" si="4"/>
        <v>1058</v>
      </c>
      <c r="F14" s="134">
        <f t="shared" si="0"/>
        <v>-3.8181818181818206E-2</v>
      </c>
      <c r="G14" s="135">
        <f t="shared" si="5"/>
        <v>-25.200000000000017</v>
      </c>
      <c r="H14" s="135">
        <f t="shared" si="6"/>
        <v>2.5200000000000018</v>
      </c>
      <c r="I14" s="145">
        <f t="shared" si="7"/>
        <v>637.31999999999994</v>
      </c>
    </row>
    <row r="15" spans="2:10" x14ac:dyDescent="0.35">
      <c r="B15" s="199" t="s">
        <v>262</v>
      </c>
      <c r="C15" s="143">
        <f>Ajustada!D26</f>
        <v>4607.68</v>
      </c>
      <c r="D15" s="143"/>
      <c r="E15" s="85">
        <f t="shared" si="4"/>
        <v>1058</v>
      </c>
      <c r="F15" s="134">
        <f t="shared" si="0"/>
        <v>-3.8181818181818206E-2</v>
      </c>
      <c r="G15" s="135">
        <f t="shared" si="5"/>
        <v>-175.92960000000011</v>
      </c>
      <c r="H15" s="135">
        <f t="shared" si="6"/>
        <v>17.592960000000012</v>
      </c>
      <c r="I15" s="145">
        <f t="shared" si="7"/>
        <v>4449.3433599999998</v>
      </c>
    </row>
    <row r="16" spans="2:10" x14ac:dyDescent="0.35">
      <c r="B16" s="199" t="s">
        <v>263</v>
      </c>
      <c r="C16" s="143">
        <f>Ajustada!D27</f>
        <v>13139.853999999999</v>
      </c>
      <c r="D16" s="143"/>
      <c r="E16" s="85">
        <f t="shared" si="4"/>
        <v>1058</v>
      </c>
      <c r="F16" s="134">
        <f t="shared" si="0"/>
        <v>-3.8181818181818206E-2</v>
      </c>
      <c r="G16" s="135">
        <f t="shared" si="5"/>
        <v>-501.70351636363665</v>
      </c>
      <c r="H16" s="135">
        <f t="shared" si="6"/>
        <v>50.170351636363669</v>
      </c>
      <c r="I16" s="145">
        <f t="shared" si="7"/>
        <v>12688.320835272725</v>
      </c>
    </row>
    <row r="17" spans="2:9" x14ac:dyDescent="0.35">
      <c r="B17" s="199" t="s">
        <v>342</v>
      </c>
      <c r="C17" s="143" t="e">
        <f>Ajustada!#REF!</f>
        <v>#REF!</v>
      </c>
      <c r="D17" s="143"/>
      <c r="E17" s="85">
        <f t="shared" si="4"/>
        <v>1058</v>
      </c>
      <c r="F17" s="134">
        <f t="shared" si="0"/>
        <v>-3.8181818181818206E-2</v>
      </c>
      <c r="G17" s="135" t="e">
        <f t="shared" ref="G17" si="8">+C17*F17</f>
        <v>#REF!</v>
      </c>
      <c r="H17" s="135" t="e">
        <f t="shared" ref="H17" si="9">-(G17)*$F$2</f>
        <v>#REF!</v>
      </c>
      <c r="I17" s="145" t="e">
        <f t="shared" ref="I17" si="10">C17+G17+H17</f>
        <v>#REF!</v>
      </c>
    </row>
    <row r="18" spans="2:9" x14ac:dyDescent="0.35">
      <c r="B18" s="147" t="s">
        <v>267</v>
      </c>
      <c r="C18" s="143">
        <f>Ajustada!D28</f>
        <v>1150</v>
      </c>
      <c r="D18" s="143"/>
      <c r="E18" s="85">
        <f t="shared" si="4"/>
        <v>1058</v>
      </c>
      <c r="F18" s="134">
        <f t="shared" si="0"/>
        <v>-3.8181818181818206E-2</v>
      </c>
      <c r="G18" s="135">
        <f t="shared" si="1"/>
        <v>-43.909090909090935</v>
      </c>
      <c r="H18" s="135">
        <f t="shared" si="2"/>
        <v>4.3909090909090933</v>
      </c>
      <c r="I18" s="145">
        <f t="shared" si="3"/>
        <v>1110.4818181818182</v>
      </c>
    </row>
    <row r="19" spans="2:9" x14ac:dyDescent="0.35">
      <c r="B19" s="147" t="s">
        <v>268</v>
      </c>
      <c r="C19" s="143">
        <f>Ajustada!D29</f>
        <v>3300</v>
      </c>
      <c r="D19" s="143"/>
      <c r="E19" s="85">
        <f t="shared" si="4"/>
        <v>1058</v>
      </c>
      <c r="F19" s="134">
        <f t="shared" si="0"/>
        <v>-3.8181818181818206E-2</v>
      </c>
      <c r="G19" s="135">
        <f t="shared" si="1"/>
        <v>-126.00000000000009</v>
      </c>
      <c r="H19" s="135">
        <f t="shared" si="2"/>
        <v>12.600000000000009</v>
      </c>
      <c r="I19" s="145">
        <f t="shared" si="3"/>
        <v>3186.6</v>
      </c>
    </row>
    <row r="20" spans="2:9" x14ac:dyDescent="0.35">
      <c r="B20" s="147" t="s">
        <v>269</v>
      </c>
      <c r="C20" s="143">
        <f>Ajustada!D30</f>
        <v>530</v>
      </c>
      <c r="D20" s="143"/>
      <c r="E20" s="85">
        <f t="shared" si="4"/>
        <v>1058</v>
      </c>
      <c r="F20" s="134">
        <f t="shared" si="0"/>
        <v>-3.8181818181818206E-2</v>
      </c>
      <c r="G20" s="135">
        <f t="shared" si="1"/>
        <v>-20.236363636363649</v>
      </c>
      <c r="H20" s="135">
        <f t="shared" si="2"/>
        <v>2.0236363636363648</v>
      </c>
      <c r="I20" s="145">
        <f t="shared" si="3"/>
        <v>511.78727272727269</v>
      </c>
    </row>
    <row r="21" spans="2:9" x14ac:dyDescent="0.35">
      <c r="B21" s="147" t="s">
        <v>270</v>
      </c>
      <c r="C21" s="143">
        <f>Ajustada!D32</f>
        <v>1875</v>
      </c>
      <c r="D21" s="143"/>
      <c r="E21" s="85">
        <f t="shared" si="4"/>
        <v>1058</v>
      </c>
      <c r="F21" s="134">
        <f t="shared" si="0"/>
        <v>-3.8181818181818206E-2</v>
      </c>
      <c r="G21" s="135">
        <f t="shared" si="1"/>
        <v>-71.590909090909136</v>
      </c>
      <c r="H21" s="135">
        <f t="shared" si="2"/>
        <v>7.1590909090909136</v>
      </c>
      <c r="I21" s="145">
        <f t="shared" si="3"/>
        <v>1810.5681818181818</v>
      </c>
    </row>
    <row r="22" spans="2:9" x14ac:dyDescent="0.35">
      <c r="B22" s="147" t="s">
        <v>271</v>
      </c>
      <c r="C22" s="143">
        <f>Ajustada!D33</f>
        <v>486</v>
      </c>
      <c r="D22" s="143"/>
      <c r="E22" s="85">
        <f t="shared" si="4"/>
        <v>1058</v>
      </c>
      <c r="F22" s="134">
        <f t="shared" si="0"/>
        <v>-3.8181818181818206E-2</v>
      </c>
      <c r="G22" s="135">
        <f t="shared" si="1"/>
        <v>-18.556363636363649</v>
      </c>
      <c r="H22" s="135">
        <f t="shared" si="2"/>
        <v>1.8556363636363651</v>
      </c>
      <c r="I22" s="145">
        <f t="shared" si="3"/>
        <v>469.29927272727275</v>
      </c>
    </row>
    <row r="23" spans="2:9" x14ac:dyDescent="0.35">
      <c r="B23" s="147" t="s">
        <v>272</v>
      </c>
      <c r="C23" s="143">
        <f>Ajustada!D34</f>
        <v>93</v>
      </c>
      <c r="D23" s="143"/>
      <c r="E23" s="85">
        <f t="shared" si="4"/>
        <v>1058</v>
      </c>
      <c r="F23" s="134">
        <f t="shared" si="0"/>
        <v>-3.8181818181818206E-2</v>
      </c>
      <c r="G23" s="135">
        <f t="shared" si="1"/>
        <v>-3.550909090909093</v>
      </c>
      <c r="H23" s="135">
        <f t="shared" si="2"/>
        <v>0.35509090909090935</v>
      </c>
      <c r="I23" s="145">
        <f t="shared" si="3"/>
        <v>89.804181818181817</v>
      </c>
    </row>
    <row r="24" spans="2:9" x14ac:dyDescent="0.35">
      <c r="B24" s="147" t="s">
        <v>344</v>
      </c>
      <c r="C24" s="143">
        <f>Ajustada!D35</f>
        <v>1812</v>
      </c>
      <c r="D24" s="143"/>
      <c r="E24" s="85">
        <f t="shared" si="4"/>
        <v>1058</v>
      </c>
      <c r="F24" s="134">
        <f t="shared" si="0"/>
        <v>-3.8181818181818206E-2</v>
      </c>
      <c r="G24" s="135">
        <f t="shared" si="1"/>
        <v>-69.18545454545459</v>
      </c>
      <c r="H24" s="135">
        <f t="shared" si="2"/>
        <v>6.918545454545459</v>
      </c>
      <c r="I24" s="145">
        <f t="shared" si="3"/>
        <v>1749.7330909090908</v>
      </c>
    </row>
    <row r="25" spans="2:9" x14ac:dyDescent="0.35">
      <c r="B25" s="147" t="s">
        <v>273</v>
      </c>
      <c r="C25" s="143" t="e">
        <f>Ajustada!#REF!</f>
        <v>#REF!</v>
      </c>
      <c r="D25" s="143"/>
      <c r="E25" s="85">
        <f t="shared" si="4"/>
        <v>1058</v>
      </c>
      <c r="F25" s="134">
        <f t="shared" si="0"/>
        <v>-3.8181818181818206E-2</v>
      </c>
      <c r="G25" s="135" t="e">
        <f t="shared" si="1"/>
        <v>#REF!</v>
      </c>
      <c r="H25" s="135" t="e">
        <f t="shared" si="2"/>
        <v>#REF!</v>
      </c>
      <c r="I25" s="145" t="e">
        <f t="shared" si="3"/>
        <v>#REF!</v>
      </c>
    </row>
    <row r="26" spans="2:9" x14ac:dyDescent="0.35">
      <c r="B26" s="147" t="s">
        <v>274</v>
      </c>
      <c r="C26" s="143">
        <f>Ajustada!D36</f>
        <v>2119.5</v>
      </c>
      <c r="D26" s="143"/>
      <c r="E26" s="85">
        <f t="shared" si="4"/>
        <v>1058</v>
      </c>
      <c r="F26" s="134">
        <f t="shared" si="0"/>
        <v>-3.8181818181818206E-2</v>
      </c>
      <c r="G26" s="135">
        <f t="shared" si="1"/>
        <v>-80.926363636363689</v>
      </c>
      <c r="H26" s="135">
        <f t="shared" si="2"/>
        <v>8.0926363636363696</v>
      </c>
      <c r="I26" s="145">
        <f t="shared" si="3"/>
        <v>2046.6662727272726</v>
      </c>
    </row>
    <row r="27" spans="2:9" x14ac:dyDescent="0.35">
      <c r="B27" s="147" t="s">
        <v>275</v>
      </c>
      <c r="C27" s="143">
        <f>Ajustada!D43</f>
        <v>600</v>
      </c>
      <c r="D27" s="143"/>
      <c r="E27" s="85">
        <f t="shared" si="4"/>
        <v>1058</v>
      </c>
      <c r="F27" s="134">
        <f t="shared" si="0"/>
        <v>-3.8181818181818206E-2</v>
      </c>
      <c r="G27" s="135">
        <f t="shared" si="1"/>
        <v>-22.909090909090924</v>
      </c>
      <c r="H27" s="135">
        <f t="shared" si="2"/>
        <v>2.2909090909090923</v>
      </c>
      <c r="I27" s="145">
        <f t="shared" si="3"/>
        <v>579.38181818181818</v>
      </c>
    </row>
    <row r="28" spans="2:9" x14ac:dyDescent="0.35">
      <c r="B28" s="147" t="s">
        <v>264</v>
      </c>
      <c r="C28" s="143" t="e">
        <f>SUM(C8:C27)*0.012</f>
        <v>#REF!</v>
      </c>
      <c r="D28" s="143"/>
      <c r="E28" s="85">
        <f t="shared" si="4"/>
        <v>1058</v>
      </c>
      <c r="F28" s="134">
        <f t="shared" si="0"/>
        <v>-3.8181818181818206E-2</v>
      </c>
      <c r="G28" s="135" t="e">
        <f t="shared" si="1"/>
        <v>#REF!</v>
      </c>
      <c r="H28" s="135" t="e">
        <f t="shared" si="2"/>
        <v>#REF!</v>
      </c>
      <c r="I28" s="145" t="e">
        <f t="shared" si="3"/>
        <v>#REF!</v>
      </c>
    </row>
    <row r="29" spans="2:9" x14ac:dyDescent="0.35">
      <c r="B29" s="148" t="s">
        <v>276</v>
      </c>
      <c r="C29" s="149">
        <v>9024</v>
      </c>
      <c r="D29" s="143"/>
      <c r="E29" s="150">
        <f>I4</f>
        <v>1080</v>
      </c>
      <c r="F29" s="151">
        <f t="shared" si="0"/>
        <v>-1.8181818181818188E-2</v>
      </c>
      <c r="G29" s="152">
        <f t="shared" si="1"/>
        <v>-164.07272727272732</v>
      </c>
      <c r="H29" s="152">
        <f t="shared" si="2"/>
        <v>16.407272727272733</v>
      </c>
      <c r="I29" s="153">
        <v>0</v>
      </c>
    </row>
    <row r="30" spans="2:9" x14ac:dyDescent="0.35">
      <c r="B30" s="148" t="s">
        <v>277</v>
      </c>
      <c r="C30" s="149">
        <v>8880</v>
      </c>
      <c r="D30" s="143"/>
      <c r="E30" s="150">
        <f>I4</f>
        <v>1080</v>
      </c>
      <c r="F30" s="151">
        <f t="shared" si="0"/>
        <v>-1.8181818181818188E-2</v>
      </c>
      <c r="G30" s="152">
        <f t="shared" si="1"/>
        <v>-161.4545454545455</v>
      </c>
      <c r="H30" s="152">
        <f t="shared" si="2"/>
        <v>16.145454545454552</v>
      </c>
      <c r="I30" s="153">
        <v>0</v>
      </c>
    </row>
    <row r="31" spans="2:9" ht="15" thickBot="1" x14ac:dyDescent="0.4">
      <c r="B31" s="154" t="s">
        <v>264</v>
      </c>
      <c r="C31" s="149">
        <f>SUM(C29:C30)*0.012</f>
        <v>214.84800000000001</v>
      </c>
      <c r="D31" s="155"/>
      <c r="E31" s="156">
        <f>I4</f>
        <v>1080</v>
      </c>
      <c r="F31" s="157">
        <f t="shared" si="0"/>
        <v>-1.8181818181818188E-2</v>
      </c>
      <c r="G31" s="158">
        <f t="shared" si="1"/>
        <v>-3.9063272727272742</v>
      </c>
      <c r="H31" s="158">
        <f t="shared" si="2"/>
        <v>0.39063272727272746</v>
      </c>
      <c r="I31" s="159">
        <v>0</v>
      </c>
    </row>
    <row r="32" spans="2:9" ht="15" thickBot="1" x14ac:dyDescent="0.4">
      <c r="B32" s="160" t="s">
        <v>278</v>
      </c>
      <c r="C32" s="161" t="e">
        <f>SUM(C6:C31)</f>
        <v>#REF!</v>
      </c>
      <c r="D32" s="144"/>
      <c r="E32" s="85"/>
      <c r="F32" s="134"/>
      <c r="G32" s="162" t="e">
        <f>SUM(G6:G31)</f>
        <v>#REF!</v>
      </c>
      <c r="H32" s="162" t="e">
        <f>SUM(H6:H31)</f>
        <v>#REF!</v>
      </c>
      <c r="I32" s="163" t="e">
        <f>SUM(I6:I31)</f>
        <v>#REF!</v>
      </c>
    </row>
    <row r="33" spans="2:11" ht="15" thickBot="1" x14ac:dyDescent="0.4">
      <c r="B33" s="164" t="s">
        <v>279</v>
      </c>
      <c r="C33" s="165" t="e">
        <f>SUM(C6:C28)</f>
        <v>#REF!</v>
      </c>
      <c r="D33" s="144"/>
      <c r="I33" s="85"/>
    </row>
    <row r="34" spans="2:11" ht="15" thickBot="1" x14ac:dyDescent="0.4">
      <c r="G34" s="166"/>
      <c r="H34" s="167" t="e">
        <f>$I$34/$C$33</f>
        <v>#REF!</v>
      </c>
      <c r="I34" s="168" t="e">
        <f>C33-I32</f>
        <v>#REF!</v>
      </c>
      <c r="J34" s="169" t="s">
        <v>280</v>
      </c>
      <c r="K34" s="169"/>
    </row>
    <row r="35" spans="2:11" x14ac:dyDescent="0.35">
      <c r="B35" s="23" t="s">
        <v>281</v>
      </c>
    </row>
    <row r="36" spans="2:11" x14ac:dyDescent="0.35">
      <c r="B36" t="s">
        <v>282</v>
      </c>
      <c r="C36"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9198-966A-449A-8711-72AB6F4D47AC}">
  <sheetPr>
    <pageSetUpPr fitToPage="1"/>
  </sheetPr>
  <dimension ref="B4:X122"/>
  <sheetViews>
    <sheetView topLeftCell="A18" zoomScale="115" zoomScaleNormal="115" workbookViewId="0">
      <selection activeCell="F29" sqref="F29"/>
    </sheetView>
  </sheetViews>
  <sheetFormatPr baseColWidth="10" defaultRowHeight="14.5" x14ac:dyDescent="0.35"/>
  <cols>
    <col min="1" max="1" width="4.81640625" customWidth="1"/>
    <col min="3" max="3" width="12.1796875" customWidth="1"/>
    <col min="9" max="9" width="14.1796875" bestFit="1" customWidth="1"/>
    <col min="10" max="10" width="10.81640625" customWidth="1"/>
    <col min="11" max="11" width="13.1796875" bestFit="1" customWidth="1"/>
    <col min="13" max="13" width="17.81640625" customWidth="1"/>
  </cols>
  <sheetData>
    <row r="4" spans="2:14" ht="47.5" x14ac:dyDescent="1.1000000000000001">
      <c r="F4" s="231">
        <f>Upriver!B5</f>
        <v>0</v>
      </c>
      <c r="G4" s="231"/>
      <c r="H4" s="231"/>
      <c r="I4" s="231"/>
      <c r="J4" s="231"/>
      <c r="K4" s="231"/>
    </row>
    <row r="10" spans="2:14" ht="16" x14ac:dyDescent="0.35">
      <c r="B10" s="28" t="s">
        <v>37</v>
      </c>
      <c r="I10" s="28" t="s">
        <v>38</v>
      </c>
      <c r="L10" s="29"/>
    </row>
    <row r="11" spans="2:14" ht="16" x14ac:dyDescent="0.35">
      <c r="B11" s="28"/>
      <c r="I11" s="28"/>
      <c r="L11" s="29"/>
    </row>
    <row r="12" spans="2:14" ht="16" x14ac:dyDescent="0.35">
      <c r="B12" s="28"/>
      <c r="C12" s="30" t="str">
        <f>_xlfn.CONCAT("Port ",Upriver!B9," - Terminal ",Upriver!B10)</f>
        <v xml:space="preserve">Port  - Terminal </v>
      </c>
      <c r="I12" s="28"/>
      <c r="J12" s="30" t="str">
        <f>_xlfn.CONCAT("Port ",Upriver!B9," - Terminal ",Upriver!B10)</f>
        <v xml:space="preserve">Port  - Terminal </v>
      </c>
      <c r="L12" s="29"/>
    </row>
    <row r="13" spans="2:14" ht="16" x14ac:dyDescent="0.35">
      <c r="B13" s="28"/>
      <c r="C13">
        <f>Upriver!B12</f>
        <v>27149</v>
      </c>
      <c r="D13" t="s">
        <v>105</v>
      </c>
      <c r="E13" t="str">
        <f>_xlfn.CONCAT(Upriver!B18," days at port")</f>
        <v>2 days at port</v>
      </c>
      <c r="G13" s="29">
        <f>Upriver!A19</f>
        <v>20090.259999999998</v>
      </c>
      <c r="I13" s="28"/>
      <c r="J13">
        <f>Upriver!B12</f>
        <v>27149</v>
      </c>
      <c r="K13" t="s">
        <v>104</v>
      </c>
      <c r="L13" s="29"/>
      <c r="N13" s="31">
        <f>J13*0.058*1.2</f>
        <v>1889.5704000000001</v>
      </c>
    </row>
    <row r="14" spans="2:14" ht="16" x14ac:dyDescent="0.35">
      <c r="I14" s="28"/>
      <c r="L14" s="29"/>
    </row>
    <row r="15" spans="2:14" x14ac:dyDescent="0.35">
      <c r="C15" s="30"/>
      <c r="J15" s="30"/>
      <c r="N15" s="32"/>
    </row>
    <row r="16" spans="2:14" x14ac:dyDescent="0.35">
      <c r="F16" s="30" t="s">
        <v>61</v>
      </c>
      <c r="G16" s="33">
        <f>G13</f>
        <v>20090.259999999998</v>
      </c>
      <c r="L16" s="29"/>
      <c r="M16" s="30" t="s">
        <v>61</v>
      </c>
      <c r="N16" s="33">
        <f>N13</f>
        <v>1889.5704000000001</v>
      </c>
    </row>
    <row r="17" spans="2:24" x14ac:dyDescent="0.35">
      <c r="E17" s="29"/>
      <c r="L17" s="29"/>
    </row>
    <row r="18" spans="2:24" x14ac:dyDescent="0.35">
      <c r="E18" s="29"/>
      <c r="L18" s="29"/>
    </row>
    <row r="19" spans="2:24" ht="15" thickBot="1" x14ac:dyDescent="0.4">
      <c r="B19" s="34"/>
      <c r="C19" s="34"/>
      <c r="D19" s="34"/>
      <c r="E19" s="34"/>
      <c r="F19" s="34"/>
      <c r="G19" s="34"/>
      <c r="H19" s="34"/>
      <c r="I19" s="34"/>
      <c r="J19" s="34"/>
      <c r="K19" s="34"/>
      <c r="L19" s="34"/>
      <c r="M19" s="34"/>
      <c r="N19" s="34"/>
    </row>
    <row r="20" spans="2:24" ht="15" thickTop="1" x14ac:dyDescent="0.35"/>
    <row r="21" spans="2:24" ht="16" x14ac:dyDescent="0.35">
      <c r="B21" s="28" t="s">
        <v>39</v>
      </c>
    </row>
    <row r="22" spans="2:24" ht="16" x14ac:dyDescent="0.35">
      <c r="B22" s="229" t="str">
        <f>_xlfn.CONCAT("Please advise if the same is calculated basis NRT ",C13," and summer draft ",D25)</f>
        <v>Please advise if the same is calculated basis NRT 27149 and summer draft 31,47</v>
      </c>
      <c r="C22" s="229"/>
      <c r="D22" s="229"/>
      <c r="E22" s="229"/>
      <c r="F22" s="229"/>
      <c r="G22" s="229"/>
      <c r="H22" s="229"/>
    </row>
    <row r="23" spans="2:24" ht="15" thickBot="1" x14ac:dyDescent="0.4"/>
    <row r="24" spans="2:24" ht="15" thickBot="1" x14ac:dyDescent="0.4">
      <c r="B24" s="232" t="s">
        <v>6</v>
      </c>
      <c r="C24" s="233"/>
      <c r="D24" s="63">
        <f>Upriver!B12</f>
        <v>27149</v>
      </c>
    </row>
    <row r="25" spans="2:24" ht="15" thickBot="1" x14ac:dyDescent="0.4">
      <c r="B25" s="234" t="s">
        <v>112</v>
      </c>
      <c r="C25" s="235"/>
      <c r="D25" s="170">
        <v>31.47</v>
      </c>
    </row>
    <row r="26" spans="2:24" ht="15" thickBot="1" x14ac:dyDescent="0.4">
      <c r="B26" s="234" t="s">
        <v>113</v>
      </c>
      <c r="C26" s="235"/>
      <c r="D26" s="61">
        <f>(IF(D25&lt;=15,15,IF(D25&lt;=34,D25,34))-15)/D25</f>
        <v>0.52335557673975208</v>
      </c>
    </row>
    <row r="27" spans="2:24" ht="15" thickBot="1" x14ac:dyDescent="0.4">
      <c r="B27" s="234" t="s">
        <v>113</v>
      </c>
      <c r="C27" s="235"/>
      <c r="D27" s="61">
        <f>(IF(D25&lt;=15,15,IF(D25&lt;=25,D25,25))-15)/D25</f>
        <v>0.31776294884016526</v>
      </c>
    </row>
    <row r="28" spans="2:24" ht="15" thickBot="1" x14ac:dyDescent="0.4">
      <c r="B28" s="234" t="s">
        <v>114</v>
      </c>
      <c r="C28" s="235"/>
      <c r="D28" s="62" t="s">
        <v>115</v>
      </c>
    </row>
    <row r="31" spans="2:24" x14ac:dyDescent="0.35">
      <c r="B31" s="42" t="s">
        <v>62</v>
      </c>
      <c r="I31" s="42" t="s">
        <v>118</v>
      </c>
      <c r="X31" t="s">
        <v>115</v>
      </c>
    </row>
    <row r="32" spans="2:24" x14ac:dyDescent="0.35">
      <c r="B32" s="37" t="s">
        <v>325</v>
      </c>
      <c r="G32" s="7">
        <f>4.3*D24*2.61%</f>
        <v>3046.9322699999998</v>
      </c>
      <c r="I32" s="37" t="s">
        <v>326</v>
      </c>
      <c r="N32" s="7">
        <f>4.3*D24*0.35%</f>
        <v>408.59244999999993</v>
      </c>
      <c r="X32" t="s">
        <v>116</v>
      </c>
    </row>
    <row r="33" spans="2:17" x14ac:dyDescent="0.35">
      <c r="B33" s="37" t="s">
        <v>327</v>
      </c>
      <c r="D33" s="38">
        <f>+D26</f>
        <v>0.52335557673975208</v>
      </c>
      <c r="G33" s="7">
        <f>4.3*D24*44.44%*D26</f>
        <v>27151.460750162052</v>
      </c>
      <c r="I33" s="37" t="s">
        <v>328</v>
      </c>
      <c r="K33" s="38">
        <f>+D27</f>
        <v>0.31776294884016526</v>
      </c>
      <c r="N33" s="7">
        <f>4.3*D24*5.36%*D27</f>
        <v>1988.3385827772483</v>
      </c>
    </row>
    <row r="34" spans="2:17" x14ac:dyDescent="0.35">
      <c r="B34" s="37" t="s">
        <v>63</v>
      </c>
      <c r="F34" s="7">
        <f>+D26</f>
        <v>0.52335557673975208</v>
      </c>
      <c r="G34" s="38"/>
      <c r="I34" s="37" t="s">
        <v>63</v>
      </c>
      <c r="M34" s="39">
        <f>+D27</f>
        <v>0.31776294884016526</v>
      </c>
    </row>
    <row r="35" spans="2:17" x14ac:dyDescent="0.35">
      <c r="B35" s="37" t="s">
        <v>64</v>
      </c>
      <c r="G35" s="40">
        <f>SUM(G32:G34)</f>
        <v>30198.393020162053</v>
      </c>
      <c r="I35" s="37" t="s">
        <v>64</v>
      </c>
      <c r="N35" s="40">
        <f>IF(D28=X31,SUM(N32:N33),0)</f>
        <v>2396.9310327772482</v>
      </c>
    </row>
    <row r="36" spans="2:17" x14ac:dyDescent="0.35">
      <c r="E36" s="29"/>
    </row>
    <row r="37" spans="2:17" x14ac:dyDescent="0.35">
      <c r="B37" s="36" t="s">
        <v>65</v>
      </c>
      <c r="E37" s="29"/>
      <c r="I37" s="42" t="s">
        <v>119</v>
      </c>
    </row>
    <row r="38" spans="2:17" x14ac:dyDescent="0.35">
      <c r="B38" t="s">
        <v>66</v>
      </c>
      <c r="G38">
        <f>ROUND([1]Upriver!B12*((3.8*3.06)/100),2)*1</f>
        <v>0</v>
      </c>
      <c r="I38" s="37" t="s">
        <v>326</v>
      </c>
      <c r="N38" s="7">
        <f>4.3*D24*0.35%</f>
        <v>408.59244999999993</v>
      </c>
    </row>
    <row r="39" spans="2:17" x14ac:dyDescent="0.35">
      <c r="B39" t="s">
        <v>67</v>
      </c>
      <c r="D39" s="171">
        <v>47.49</v>
      </c>
      <c r="G39">
        <f>ROUND(D24*((17.06*3.06)/100)*F40*1,2)</f>
        <v>5670.3</v>
      </c>
      <c r="I39" s="37" t="s">
        <v>328</v>
      </c>
      <c r="K39" s="38">
        <f>+D27</f>
        <v>0.31776294884016526</v>
      </c>
      <c r="N39" s="7">
        <f>4.3*D24*5.36%*D27</f>
        <v>1988.3385827772483</v>
      </c>
    </row>
    <row r="40" spans="2:17" x14ac:dyDescent="0.35">
      <c r="B40" t="s">
        <v>63</v>
      </c>
      <c r="F40" s="7">
        <f>(IF(D39&lt;=15,15,IF(D39&lt;=34,D39,34))-15)/D39</f>
        <v>0.40008422825858075</v>
      </c>
      <c r="I40" s="37" t="s">
        <v>63</v>
      </c>
      <c r="M40" s="39">
        <f>+D27</f>
        <v>0.31776294884016526</v>
      </c>
    </row>
    <row r="41" spans="2:17" x14ac:dyDescent="0.35">
      <c r="B41" t="s">
        <v>64</v>
      </c>
      <c r="G41" s="36">
        <f>+G39+G38</f>
        <v>5670.3</v>
      </c>
      <c r="I41" s="37" t="s">
        <v>64</v>
      </c>
      <c r="N41" s="40">
        <f>IF(D28=X31,SUM(N38:N40),0)</f>
        <v>2396.9310327772482</v>
      </c>
    </row>
    <row r="42" spans="2:17" x14ac:dyDescent="0.35">
      <c r="Q42" s="7"/>
    </row>
    <row r="43" spans="2:17" x14ac:dyDescent="0.35">
      <c r="B43" s="42" t="s">
        <v>117</v>
      </c>
      <c r="I43" s="42" t="s">
        <v>120</v>
      </c>
    </row>
    <row r="44" spans="2:17" x14ac:dyDescent="0.35">
      <c r="B44" s="37" t="s">
        <v>329</v>
      </c>
      <c r="G44" s="7">
        <f>4.3*D24*1.96%</f>
        <v>2288.1177199999997</v>
      </c>
      <c r="I44" s="37" t="s">
        <v>330</v>
      </c>
      <c r="N44" s="7">
        <f>4.3*D24*8.37%</f>
        <v>9771.1965899999996</v>
      </c>
    </row>
    <row r="45" spans="2:17" x14ac:dyDescent="0.35">
      <c r="B45" s="37" t="s">
        <v>331</v>
      </c>
      <c r="D45" s="38">
        <f>+D26</f>
        <v>0.52335557673975208</v>
      </c>
      <c r="G45" s="7">
        <f>4.3*D24*38.5%*D26</f>
        <v>23522.305105338412</v>
      </c>
      <c r="I45" s="37" t="s">
        <v>332</v>
      </c>
      <c r="K45" s="38">
        <f>+D26</f>
        <v>0.52335557673975208</v>
      </c>
      <c r="N45" s="7">
        <f>4.3*D24*100%*D26</f>
        <v>61096.896377502373</v>
      </c>
    </row>
    <row r="46" spans="2:17" x14ac:dyDescent="0.35">
      <c r="B46" s="37" t="s">
        <v>63</v>
      </c>
      <c r="F46" s="7">
        <f>+D26</f>
        <v>0.52335557673975208</v>
      </c>
      <c r="I46" s="37" t="s">
        <v>63</v>
      </c>
      <c r="M46" s="39">
        <f>+D26</f>
        <v>0.52335557673975208</v>
      </c>
    </row>
    <row r="47" spans="2:17" x14ac:dyDescent="0.35">
      <c r="B47" s="37" t="s">
        <v>64</v>
      </c>
      <c r="G47" s="40">
        <f>SUM(G44:G46)</f>
        <v>25810.42282533841</v>
      </c>
      <c r="I47" s="37" t="s">
        <v>64</v>
      </c>
      <c r="N47" s="40">
        <f>SUM(N44:N46)</f>
        <v>70868.092967502365</v>
      </c>
    </row>
    <row r="48" spans="2:17" ht="16" x14ac:dyDescent="0.35">
      <c r="B48" s="28"/>
    </row>
    <row r="49" spans="2:14" ht="16" x14ac:dyDescent="0.35">
      <c r="B49" s="28"/>
    </row>
    <row r="50" spans="2:14" ht="16" x14ac:dyDescent="0.35">
      <c r="B50" s="28"/>
      <c r="F50" s="230" t="s">
        <v>61</v>
      </c>
      <c r="G50" s="230"/>
      <c r="H50" s="43">
        <f>G35+G41+G47+N35+N41+N47</f>
        <v>137341.07087855734</v>
      </c>
    </row>
    <row r="51" spans="2:14" ht="16.5" thickBot="1" x14ac:dyDescent="0.4">
      <c r="B51" s="41"/>
      <c r="C51" s="34"/>
      <c r="D51" s="34"/>
      <c r="E51" s="34"/>
      <c r="F51" s="34"/>
      <c r="G51" s="34"/>
      <c r="H51" s="34"/>
      <c r="I51" s="34"/>
      <c r="J51" s="34"/>
      <c r="K51" s="34"/>
      <c r="L51" s="34"/>
      <c r="M51" s="34"/>
      <c r="N51" s="34"/>
    </row>
    <row r="52" spans="2:14" ht="16.5" thickTop="1" x14ac:dyDescent="0.35">
      <c r="B52" s="28"/>
    </row>
    <row r="53" spans="2:14" ht="16" x14ac:dyDescent="0.35">
      <c r="B53" s="28" t="s">
        <v>68</v>
      </c>
    </row>
    <row r="55" spans="2:14" x14ac:dyDescent="0.35">
      <c r="B55" s="42" t="s">
        <v>69</v>
      </c>
      <c r="C55" s="36"/>
      <c r="D55" s="36"/>
      <c r="E55" s="36"/>
      <c r="F55" s="36"/>
      <c r="G55" s="36"/>
      <c r="H55" s="36"/>
      <c r="I55" s="42" t="s">
        <v>70</v>
      </c>
      <c r="J55" s="36"/>
      <c r="K55" s="36"/>
    </row>
    <row r="56" spans="2:14" ht="16" x14ac:dyDescent="0.35">
      <c r="B56" s="28"/>
      <c r="C56" s="36"/>
      <c r="D56" s="36"/>
      <c r="E56" s="36"/>
      <c r="F56" s="36"/>
      <c r="G56" s="36"/>
      <c r="H56" s="36"/>
      <c r="I56" s="36"/>
      <c r="J56" s="36"/>
      <c r="K56" s="36"/>
    </row>
    <row r="57" spans="2:14" ht="16" x14ac:dyDescent="0.35">
      <c r="B57" s="35" t="s">
        <v>111</v>
      </c>
      <c r="G57" s="7">
        <f>Upriver!B11</f>
        <v>187</v>
      </c>
      <c r="I57" s="35" t="s">
        <v>111</v>
      </c>
      <c r="N57" s="7">
        <f>G57</f>
        <v>187</v>
      </c>
    </row>
    <row r="58" spans="2:14" ht="16" x14ac:dyDescent="0.35">
      <c r="B58" s="35" t="s">
        <v>110</v>
      </c>
      <c r="G58" s="7">
        <f>Upriver!B29</f>
        <v>0</v>
      </c>
      <c r="I58" s="35" t="s">
        <v>109</v>
      </c>
      <c r="N58" s="7">
        <f>Upriver!C29</f>
        <v>10.41</v>
      </c>
    </row>
    <row r="59" spans="2:14" ht="16" x14ac:dyDescent="0.35">
      <c r="B59" s="35" t="s">
        <v>73</v>
      </c>
      <c r="G59" s="7">
        <v>187</v>
      </c>
      <c r="I59" s="35" t="s">
        <v>73</v>
      </c>
      <c r="N59" s="7">
        <v>187</v>
      </c>
    </row>
    <row r="60" spans="2:14" ht="16" x14ac:dyDescent="0.35">
      <c r="B60" s="35"/>
      <c r="G60" s="7"/>
      <c r="I60" s="35"/>
      <c r="N60" s="7"/>
    </row>
    <row r="61" spans="2:14" ht="16" x14ac:dyDescent="0.35">
      <c r="B61" s="35" t="s">
        <v>74</v>
      </c>
      <c r="G61" s="7">
        <f>G57*8*2</f>
        <v>2992</v>
      </c>
      <c r="I61" s="35" t="s">
        <v>74</v>
      </c>
      <c r="N61" s="7">
        <f>N57*8*2</f>
        <v>2992</v>
      </c>
    </row>
    <row r="62" spans="2:14" ht="16" x14ac:dyDescent="0.35">
      <c r="B62" s="35" t="s">
        <v>75</v>
      </c>
      <c r="G62" s="7">
        <f>12*187*2</f>
        <v>4488</v>
      </c>
      <c r="I62" s="35" t="s">
        <v>75</v>
      </c>
      <c r="N62" s="7">
        <f>12*187*2</f>
        <v>4488</v>
      </c>
    </row>
    <row r="63" spans="2:14" ht="16" x14ac:dyDescent="0.35">
      <c r="B63" s="35" t="s">
        <v>76</v>
      </c>
      <c r="G63" s="7">
        <f>Calculos!A12*2</f>
        <v>0</v>
      </c>
      <c r="I63" s="35" t="s">
        <v>76</v>
      </c>
      <c r="N63" s="7">
        <f>Calculos!H12*2</f>
        <v>2244</v>
      </c>
    </row>
    <row r="64" spans="2:14" ht="16" x14ac:dyDescent="0.35">
      <c r="B64" s="35"/>
      <c r="G64" s="7"/>
      <c r="I64" s="35"/>
      <c r="N64" s="7"/>
    </row>
    <row r="65" spans="2:14" ht="16" x14ac:dyDescent="0.35">
      <c r="B65" s="35" t="s">
        <v>78</v>
      </c>
      <c r="G65" s="7">
        <f>IF(Upriver!G26="RIPLA",15960,IF(Upriver!G26="INDEPENDIENTE",15900,0))</f>
        <v>15960</v>
      </c>
      <c r="I65" s="35" t="s">
        <v>78</v>
      </c>
      <c r="N65" s="7">
        <f>IF(Upriver!G26="RIPLA",15960,IF(Upriver!G26="INDEPENDIENTE",15900,0))</f>
        <v>15960</v>
      </c>
    </row>
    <row r="66" spans="2:14" ht="16" x14ac:dyDescent="0.35">
      <c r="B66" s="35"/>
      <c r="G66" s="7"/>
      <c r="I66" s="35"/>
      <c r="N66" s="7"/>
    </row>
    <row r="67" spans="2:14" ht="16" x14ac:dyDescent="0.35">
      <c r="B67" s="35" t="str">
        <f>_xlfn.CONCAT("Delay ( ",Upriver!B30,"hs * 2 pilots)")</f>
        <v>Delay ( 0hs * 2 pilots)</v>
      </c>
      <c r="G67" s="7">
        <f>Upriver!E30</f>
        <v>0</v>
      </c>
      <c r="I67" s="35" t="str">
        <f>_xlfn.CONCAT("Delay ( ",Upriver!C30,"hs * 2 pilots)")</f>
        <v>Delay ( 6hs * 2 pilots)</v>
      </c>
      <c r="N67" s="7">
        <f>Upriver!F30</f>
        <v>1800</v>
      </c>
    </row>
    <row r="68" spans="2:14" ht="16" x14ac:dyDescent="0.35">
      <c r="B68" s="35" t="s">
        <v>77</v>
      </c>
      <c r="G68" s="7">
        <f>Upriver!E31</f>
        <v>0</v>
      </c>
      <c r="I68" s="35" t="s">
        <v>77</v>
      </c>
      <c r="N68" s="7">
        <f>Upriver!F31</f>
        <v>2618</v>
      </c>
    </row>
    <row r="69" spans="2:14" ht="16" x14ac:dyDescent="0.35">
      <c r="B69" s="35" t="s">
        <v>90</v>
      </c>
      <c r="G69" s="7"/>
      <c r="I69" s="35" t="s">
        <v>90</v>
      </c>
      <c r="N69" s="40"/>
    </row>
    <row r="70" spans="2:14" ht="16" x14ac:dyDescent="0.35">
      <c r="B70" s="35"/>
      <c r="G70" s="7"/>
    </row>
    <row r="71" spans="2:14" ht="16" x14ac:dyDescent="0.35">
      <c r="B71" s="35"/>
      <c r="G71" s="7"/>
      <c r="I71" s="35"/>
      <c r="N71" s="7"/>
    </row>
    <row r="72" spans="2:14" x14ac:dyDescent="0.35">
      <c r="B72" s="30" t="s">
        <v>61</v>
      </c>
      <c r="G72" s="43">
        <f>SUM(G61:G68)</f>
        <v>23440</v>
      </c>
      <c r="I72" s="30" t="s">
        <v>61</v>
      </c>
      <c r="N72" s="43">
        <f>SUM(N61:N68)</f>
        <v>30102</v>
      </c>
    </row>
    <row r="73" spans="2:14" ht="16" x14ac:dyDescent="0.35">
      <c r="B73" s="35"/>
    </row>
    <row r="74" spans="2:14" ht="16" x14ac:dyDescent="0.35">
      <c r="B74" s="28"/>
    </row>
    <row r="75" spans="2:14" ht="16.5" thickBot="1" x14ac:dyDescent="0.4">
      <c r="B75" s="41"/>
      <c r="C75" s="34"/>
      <c r="D75" s="34"/>
      <c r="E75" s="34"/>
      <c r="F75" s="34"/>
      <c r="G75" s="34"/>
      <c r="H75" s="34"/>
      <c r="I75" s="34"/>
      <c r="J75" s="34"/>
      <c r="K75" s="34"/>
      <c r="L75" s="34"/>
      <c r="M75" s="34"/>
      <c r="N75" s="34"/>
    </row>
    <row r="76" spans="2:14" ht="16.5" thickTop="1" x14ac:dyDescent="0.35">
      <c r="B76" s="28"/>
    </row>
    <row r="77" spans="2:14" ht="16" x14ac:dyDescent="0.35">
      <c r="B77" s="28" t="s">
        <v>79</v>
      </c>
    </row>
    <row r="78" spans="2:14" ht="16" x14ac:dyDescent="0.35">
      <c r="B78" s="28"/>
    </row>
    <row r="79" spans="2:14" x14ac:dyDescent="0.35">
      <c r="B79" s="42" t="s">
        <v>151</v>
      </c>
      <c r="I79" s="42" t="s">
        <v>152</v>
      </c>
    </row>
    <row r="80" spans="2:14" ht="16" x14ac:dyDescent="0.35">
      <c r="B80" s="28"/>
      <c r="I80" s="28"/>
    </row>
    <row r="81" spans="2:14" x14ac:dyDescent="0.35">
      <c r="B81" s="228" t="s">
        <v>71</v>
      </c>
      <c r="C81" s="228"/>
      <c r="D81" s="45"/>
      <c r="E81" s="45"/>
      <c r="F81" s="45"/>
      <c r="G81" s="46">
        <f>Upriver!B11</f>
        <v>187</v>
      </c>
      <c r="I81" s="228" t="s">
        <v>71</v>
      </c>
      <c r="J81" s="228"/>
      <c r="K81" s="45"/>
      <c r="L81" s="45"/>
      <c r="M81" s="45"/>
      <c r="N81" s="46">
        <f>Upriver!B11</f>
        <v>187</v>
      </c>
    </row>
    <row r="82" spans="2:14" x14ac:dyDescent="0.35">
      <c r="B82" s="44" t="s">
        <v>73</v>
      </c>
      <c r="C82" s="45"/>
      <c r="D82" s="45"/>
      <c r="E82" s="45"/>
      <c r="F82" s="45"/>
      <c r="G82" s="46">
        <f>Upriver!B39</f>
        <v>391</v>
      </c>
      <c r="I82" s="44" t="s">
        <v>73</v>
      </c>
      <c r="J82" s="45"/>
      <c r="K82" s="45"/>
      <c r="L82" s="45"/>
      <c r="M82" s="45"/>
      <c r="N82" s="46">
        <f>Upriver!E39</f>
        <v>377</v>
      </c>
    </row>
    <row r="83" spans="2:14" x14ac:dyDescent="0.35">
      <c r="B83" s="44" t="s">
        <v>72</v>
      </c>
      <c r="C83" s="45"/>
      <c r="D83" s="45"/>
      <c r="E83" s="45"/>
      <c r="F83" s="45"/>
      <c r="G83" s="47">
        <f>Upriver!B40</f>
        <v>0</v>
      </c>
      <c r="I83" s="44" t="s">
        <v>72</v>
      </c>
      <c r="J83" s="45"/>
      <c r="K83" s="45"/>
      <c r="L83" s="45"/>
      <c r="M83" s="45"/>
      <c r="N83" s="47">
        <f>Upriver!E40</f>
        <v>10.41</v>
      </c>
    </row>
    <row r="85" spans="2:14" x14ac:dyDescent="0.35">
      <c r="B85" s="228" t="s">
        <v>74</v>
      </c>
      <c r="C85" s="228"/>
      <c r="D85" s="228"/>
      <c r="E85" s="228"/>
      <c r="F85" s="45"/>
      <c r="G85" s="49">
        <f>(8*G81)*2</f>
        <v>2992</v>
      </c>
      <c r="I85" s="228" t="s">
        <v>80</v>
      </c>
      <c r="J85" s="228"/>
      <c r="K85" s="228"/>
      <c r="L85" s="228"/>
      <c r="M85" s="45"/>
      <c r="N85" s="49">
        <f>(8*N81)*Upriver!E38</f>
        <v>2992</v>
      </c>
    </row>
    <row r="86" spans="2:14" x14ac:dyDescent="0.35">
      <c r="B86" s="228" t="s">
        <v>75</v>
      </c>
      <c r="C86" s="228"/>
      <c r="D86" s="228"/>
      <c r="E86" s="45"/>
      <c r="F86" s="45"/>
      <c r="G86" s="49">
        <f>(12*G82)*2</f>
        <v>9384</v>
      </c>
      <c r="I86" s="228" t="s">
        <v>81</v>
      </c>
      <c r="J86" s="228"/>
      <c r="K86" s="228"/>
      <c r="L86" s="45"/>
      <c r="M86" s="45"/>
      <c r="N86" s="49">
        <f>(12*N82)*Upriver!E38</f>
        <v>9048</v>
      </c>
    </row>
    <row r="87" spans="2:14" ht="16" x14ac:dyDescent="0.35">
      <c r="B87" s="35" t="s">
        <v>76</v>
      </c>
      <c r="C87" s="44"/>
      <c r="D87" s="44"/>
      <c r="E87" s="45"/>
      <c r="F87" s="45"/>
      <c r="G87" s="49">
        <f>Calculos!A36*Upriver!B38</f>
        <v>0</v>
      </c>
      <c r="I87" s="35" t="s">
        <v>76</v>
      </c>
      <c r="J87" s="44"/>
      <c r="K87" s="44"/>
      <c r="L87" s="45"/>
      <c r="M87" s="45"/>
      <c r="N87" s="49">
        <f>Calculos!J36</f>
        <v>3612</v>
      </c>
    </row>
    <row r="88" spans="2:14" x14ac:dyDescent="0.35">
      <c r="B88" s="44" t="s">
        <v>77</v>
      </c>
      <c r="C88" s="44"/>
      <c r="D88" s="45"/>
      <c r="E88" s="45"/>
      <c r="F88" s="45"/>
      <c r="G88" s="49">
        <f>Upriver!G41</f>
        <v>2618</v>
      </c>
      <c r="I88" s="44" t="s">
        <v>77</v>
      </c>
      <c r="J88" s="44"/>
      <c r="K88" s="45"/>
      <c r="L88" s="45"/>
      <c r="M88" s="45"/>
      <c r="N88" s="49">
        <f>Upriver!J41</f>
        <v>2618</v>
      </c>
    </row>
    <row r="89" spans="2:14" x14ac:dyDescent="0.35">
      <c r="B89" s="44" t="str">
        <f>_xlfn.CONCAT("Delay ( ",Upriver!B41,"hs * 2 pilots)")</f>
        <v>Delay ( 0hs * 2 pilots)</v>
      </c>
      <c r="D89" s="45"/>
      <c r="E89" s="45"/>
      <c r="F89" s="45"/>
      <c r="G89" s="49">
        <f>Upriver!G40</f>
        <v>0</v>
      </c>
      <c r="I89" s="44" t="str">
        <f>_xlfn.CONCAT("Delay ( ",Upriver!J40,"hs * 2 pilots)")</f>
        <v>Delay ( 750hs * 2 pilots)</v>
      </c>
      <c r="J89" s="44"/>
      <c r="K89" s="45"/>
      <c r="L89" s="45"/>
      <c r="M89" s="45"/>
      <c r="N89" s="49">
        <f>Upriver!J40</f>
        <v>750</v>
      </c>
    </row>
    <row r="90" spans="2:14" x14ac:dyDescent="0.35">
      <c r="B90" s="228" t="s">
        <v>78</v>
      </c>
      <c r="C90" s="228"/>
      <c r="D90" s="228"/>
      <c r="E90" s="228"/>
      <c r="F90" s="228"/>
      <c r="G90" s="49">
        <f>Upriver!G39</f>
        <v>9960</v>
      </c>
      <c r="I90" s="228" t="s">
        <v>78</v>
      </c>
      <c r="J90" s="228"/>
      <c r="K90" s="228"/>
      <c r="L90" s="228"/>
      <c r="M90" s="228"/>
      <c r="N90" s="49">
        <f>Upriver!J39</f>
        <v>9960</v>
      </c>
    </row>
    <row r="91" spans="2:14" ht="16" x14ac:dyDescent="0.35">
      <c r="B91" s="35" t="s">
        <v>90</v>
      </c>
      <c r="D91" s="45"/>
      <c r="E91" s="45"/>
      <c r="F91" s="45"/>
      <c r="G91" s="48"/>
      <c r="I91" s="35" t="s">
        <v>90</v>
      </c>
      <c r="K91" s="45"/>
      <c r="L91" s="45"/>
      <c r="M91" s="45"/>
      <c r="N91" s="48"/>
    </row>
    <row r="93" spans="2:14" ht="16" x14ac:dyDescent="0.35">
      <c r="B93" s="28"/>
      <c r="G93" s="7"/>
    </row>
    <row r="94" spans="2:14" x14ac:dyDescent="0.35">
      <c r="B94" s="30" t="s">
        <v>61</v>
      </c>
      <c r="C94" s="45"/>
      <c r="D94" s="45"/>
      <c r="E94" s="45"/>
      <c r="F94" s="45"/>
      <c r="G94" s="43">
        <f>SUM(G85:G90)</f>
        <v>24954</v>
      </c>
      <c r="I94" s="30" t="s">
        <v>61</v>
      </c>
      <c r="J94" s="45"/>
      <c r="K94" s="45"/>
      <c r="L94" s="45"/>
      <c r="M94" s="45"/>
      <c r="N94" s="43">
        <f>SUM(N85:N90)</f>
        <v>28980</v>
      </c>
    </row>
    <row r="95" spans="2:14" ht="16" x14ac:dyDescent="0.35">
      <c r="B95" s="28"/>
    </row>
    <row r="96" spans="2:14" ht="16.5" thickBot="1" x14ac:dyDescent="0.4">
      <c r="B96" s="41"/>
      <c r="C96" s="34"/>
      <c r="D96" s="34"/>
      <c r="E96" s="34"/>
      <c r="F96" s="34"/>
      <c r="G96" s="34"/>
      <c r="H96" s="34"/>
      <c r="I96" s="34"/>
      <c r="J96" s="34"/>
      <c r="K96" s="34"/>
      <c r="L96" s="34"/>
      <c r="M96" s="34"/>
      <c r="N96" s="34"/>
    </row>
    <row r="97" spans="2:14" ht="16.5" thickTop="1" x14ac:dyDescent="0.35">
      <c r="B97" s="28"/>
    </row>
    <row r="98" spans="2:14" ht="16" x14ac:dyDescent="0.35">
      <c r="B98" s="28"/>
    </row>
    <row r="99" spans="2:14" ht="16" x14ac:dyDescent="0.35">
      <c r="B99" s="28" t="s">
        <v>82</v>
      </c>
    </row>
    <row r="100" spans="2:14" ht="16" x14ac:dyDescent="0.35">
      <c r="B100" s="28"/>
    </row>
    <row r="101" spans="2:14" x14ac:dyDescent="0.35">
      <c r="B101" s="42" t="s">
        <v>87</v>
      </c>
      <c r="I101" s="42" t="s">
        <v>88</v>
      </c>
    </row>
    <row r="102" spans="2:14" ht="16" x14ac:dyDescent="0.35">
      <c r="B102" s="28"/>
      <c r="I102" s="28"/>
    </row>
    <row r="103" spans="2:14" x14ac:dyDescent="0.35">
      <c r="B103" s="228" t="s">
        <v>71</v>
      </c>
      <c r="C103" s="228"/>
      <c r="D103" s="45"/>
      <c r="E103" s="45"/>
      <c r="F103" s="45"/>
      <c r="G103" s="50">
        <f>Upriver!B11</f>
        <v>187</v>
      </c>
      <c r="I103" s="228" t="s">
        <v>71</v>
      </c>
      <c r="J103" s="228"/>
      <c r="K103" s="45"/>
      <c r="L103" s="45"/>
      <c r="M103" s="45"/>
      <c r="N103" s="50">
        <f>Upriver!B11</f>
        <v>187</v>
      </c>
    </row>
    <row r="104" spans="2:14" x14ac:dyDescent="0.35">
      <c r="B104" s="44" t="s">
        <v>72</v>
      </c>
      <c r="C104" s="45"/>
      <c r="D104" s="45"/>
      <c r="E104" s="45"/>
      <c r="F104" s="45"/>
      <c r="G104" s="46">
        <f>G83</f>
        <v>0</v>
      </c>
      <c r="I104" s="44" t="s">
        <v>72</v>
      </c>
      <c r="J104" s="45"/>
      <c r="K104" s="45"/>
      <c r="L104" s="45"/>
      <c r="M104" s="45"/>
      <c r="N104" s="46">
        <f>N83</f>
        <v>10.41</v>
      </c>
    </row>
    <row r="105" spans="2:14" x14ac:dyDescent="0.35">
      <c r="B105" s="45"/>
      <c r="C105" s="45"/>
      <c r="D105" s="45"/>
      <c r="E105" s="45"/>
      <c r="F105" s="45"/>
      <c r="G105" s="45"/>
      <c r="I105" s="45"/>
      <c r="J105" s="45"/>
      <c r="K105" s="45"/>
      <c r="L105" s="45"/>
      <c r="M105" s="45"/>
      <c r="N105" s="45"/>
    </row>
    <row r="106" spans="2:14" x14ac:dyDescent="0.35">
      <c r="B106" s="228" t="s">
        <v>83</v>
      </c>
      <c r="C106" s="228"/>
      <c r="D106" s="228"/>
      <c r="E106" s="228"/>
      <c r="F106" s="45"/>
      <c r="G106" s="49">
        <f>G103*14</f>
        <v>2618</v>
      </c>
      <c r="I106" s="228" t="s">
        <v>83</v>
      </c>
      <c r="J106" s="228"/>
      <c r="K106" s="228"/>
      <c r="L106" s="228"/>
      <c r="M106" s="45"/>
      <c r="N106" s="49">
        <f>N103*14</f>
        <v>2618</v>
      </c>
    </row>
    <row r="107" spans="2:14" ht="16" x14ac:dyDescent="0.35">
      <c r="B107" s="35" t="s">
        <v>76</v>
      </c>
      <c r="C107" s="44"/>
      <c r="D107" s="44"/>
      <c r="E107" s="44"/>
      <c r="F107" s="45"/>
      <c r="G107" s="49">
        <f>Calculos!K55</f>
        <v>0</v>
      </c>
      <c r="I107" s="35" t="s">
        <v>76</v>
      </c>
      <c r="J107" s="44"/>
      <c r="K107" s="44"/>
      <c r="L107" s="44"/>
      <c r="M107" s="45"/>
      <c r="N107" s="49">
        <f>Calculos!L55</f>
        <v>785.40000000000009</v>
      </c>
    </row>
    <row r="108" spans="2:14" x14ac:dyDescent="0.35">
      <c r="B108" s="228" t="s">
        <v>84</v>
      </c>
      <c r="C108" s="228"/>
      <c r="D108" s="228"/>
      <c r="E108" s="228"/>
      <c r="F108" s="45"/>
      <c r="G108" s="49">
        <f>Upriver!H51</f>
        <v>2900</v>
      </c>
      <c r="I108" s="228" t="s">
        <v>84</v>
      </c>
      <c r="J108" s="228"/>
      <c r="K108" s="228"/>
      <c r="L108" s="228"/>
      <c r="M108" s="45"/>
      <c r="N108" s="49">
        <f>Upriver!K51</f>
        <v>2900</v>
      </c>
    </row>
    <row r="109" spans="2:14" x14ac:dyDescent="0.35">
      <c r="B109" s="44" t="s">
        <v>319</v>
      </c>
      <c r="C109" s="44"/>
      <c r="D109" s="44"/>
      <c r="E109" s="44"/>
      <c r="F109" s="45"/>
      <c r="G109" s="49">
        <f>Upriver!H52</f>
        <v>0</v>
      </c>
      <c r="I109" s="44" t="s">
        <v>319</v>
      </c>
      <c r="J109" s="44"/>
      <c r="K109" s="44"/>
      <c r="L109" s="44"/>
      <c r="M109" s="45"/>
      <c r="N109" s="49">
        <f>Upriver!K52</f>
        <v>0</v>
      </c>
    </row>
    <row r="110" spans="2:14" x14ac:dyDescent="0.35">
      <c r="B110" s="44" t="s">
        <v>85</v>
      </c>
      <c r="C110" s="44"/>
      <c r="D110" s="44"/>
      <c r="E110" s="44"/>
      <c r="F110" s="45"/>
      <c r="G110" s="49">
        <f>Upriver!H50</f>
        <v>2618</v>
      </c>
      <c r="I110" s="44" t="s">
        <v>154</v>
      </c>
      <c r="J110" s="44"/>
      <c r="K110" s="44"/>
      <c r="L110" s="44"/>
      <c r="M110" s="45"/>
      <c r="N110" s="49">
        <f>Upriver!K50</f>
        <v>0</v>
      </c>
    </row>
    <row r="111" spans="2:14" x14ac:dyDescent="0.35">
      <c r="B111" s="228" t="s">
        <v>86</v>
      </c>
      <c r="C111" s="228"/>
      <c r="D111" s="228"/>
      <c r="E111" s="228"/>
      <c r="F111" s="45"/>
      <c r="G111" s="49">
        <f>Upriver!H49</f>
        <v>0</v>
      </c>
      <c r="I111" s="228" t="s">
        <v>86</v>
      </c>
      <c r="J111" s="228"/>
      <c r="K111" s="228"/>
      <c r="L111" s="228"/>
      <c r="M111" s="45"/>
      <c r="N111" s="49">
        <f>Upriver!K49</f>
        <v>0</v>
      </c>
    </row>
    <row r="113" spans="2:14" x14ac:dyDescent="0.35">
      <c r="B113" s="30" t="s">
        <v>61</v>
      </c>
      <c r="C113" s="45"/>
      <c r="D113" s="45"/>
      <c r="E113" s="45"/>
      <c r="F113" s="45"/>
      <c r="G113" s="43">
        <f>SUM(G106:G111)</f>
        <v>8136</v>
      </c>
      <c r="I113" s="30" t="s">
        <v>61</v>
      </c>
      <c r="J113" s="45"/>
      <c r="K113" s="45"/>
      <c r="L113" s="45"/>
      <c r="M113" s="45"/>
      <c r="N113" s="43">
        <f>SUM(N106:N111)</f>
        <v>6303.4</v>
      </c>
    </row>
    <row r="114" spans="2:14" ht="16" x14ac:dyDescent="0.35">
      <c r="B114" s="28"/>
    </row>
    <row r="115" spans="2:14" ht="16.5" thickBot="1" x14ac:dyDescent="0.4">
      <c r="B115" s="41"/>
      <c r="C115" s="34"/>
      <c r="D115" s="34"/>
      <c r="E115" s="34"/>
      <c r="F115" s="34"/>
      <c r="G115" s="34"/>
      <c r="H115" s="34"/>
      <c r="I115" s="34"/>
      <c r="J115" s="34"/>
      <c r="K115" s="34"/>
      <c r="L115" s="34"/>
      <c r="M115" s="34"/>
      <c r="N115" s="34"/>
    </row>
    <row r="116" spans="2:14" ht="16.5" thickTop="1" x14ac:dyDescent="0.35">
      <c r="B116" s="28"/>
    </row>
    <row r="117" spans="2:14" ht="16" x14ac:dyDescent="0.35">
      <c r="B117" s="28" t="s">
        <v>89</v>
      </c>
    </row>
    <row r="118" spans="2:14" ht="16" x14ac:dyDescent="0.35">
      <c r="B118" s="28"/>
    </row>
    <row r="119" spans="2:14" ht="16" x14ac:dyDescent="0.35">
      <c r="B119" s="28"/>
      <c r="E119" s="30" t="s">
        <v>60</v>
      </c>
      <c r="I119" s="101">
        <v>0</v>
      </c>
      <c r="J119" t="s">
        <v>155</v>
      </c>
      <c r="K119" s="101">
        <v>0</v>
      </c>
      <c r="M119" s="102">
        <f>I119-K119</f>
        <v>0</v>
      </c>
    </row>
    <row r="120" spans="2:14" ht="16" x14ac:dyDescent="0.35">
      <c r="B120" s="28"/>
    </row>
    <row r="121" spans="2:14" ht="15" thickBot="1" x14ac:dyDescent="0.4">
      <c r="B121" s="34"/>
      <c r="C121" s="34"/>
      <c r="D121" s="34"/>
      <c r="E121" s="34"/>
      <c r="F121" s="34"/>
      <c r="G121" s="34"/>
      <c r="H121" s="34"/>
      <c r="I121" s="34"/>
      <c r="J121" s="34"/>
      <c r="K121" s="34"/>
      <c r="L121" s="34"/>
      <c r="M121" s="34"/>
      <c r="N121" s="34"/>
    </row>
    <row r="122" spans="2:14" ht="15" thickTop="1" x14ac:dyDescent="0.35"/>
  </sheetData>
  <mergeCells count="24">
    <mergeCell ref="F4:K4"/>
    <mergeCell ref="B81:C81"/>
    <mergeCell ref="I81:J81"/>
    <mergeCell ref="B85:E85"/>
    <mergeCell ref="I85:L85"/>
    <mergeCell ref="B24:C24"/>
    <mergeCell ref="B25:C25"/>
    <mergeCell ref="B26:C26"/>
    <mergeCell ref="B27:C27"/>
    <mergeCell ref="B28:C28"/>
    <mergeCell ref="I108:L108"/>
    <mergeCell ref="B90:F90"/>
    <mergeCell ref="I90:M90"/>
    <mergeCell ref="B22:H22"/>
    <mergeCell ref="B111:E111"/>
    <mergeCell ref="I111:L111"/>
    <mergeCell ref="B103:C103"/>
    <mergeCell ref="I103:J103"/>
    <mergeCell ref="B106:E106"/>
    <mergeCell ref="I106:L106"/>
    <mergeCell ref="B108:E108"/>
    <mergeCell ref="B86:D86"/>
    <mergeCell ref="I86:K86"/>
    <mergeCell ref="F50:G50"/>
  </mergeCells>
  <dataValidations count="1">
    <dataValidation type="list" allowBlank="1" showInputMessage="1" showErrorMessage="1" sqref="D28" xr:uid="{F148E24A-49A7-4A37-8626-522C589ED5D8}">
      <formula1>$X$31:$X$32</formula1>
    </dataValidation>
  </dataValidations>
  <pageMargins left="0.7" right="0.7" top="0.75" bottom="0.75" header="0.3" footer="0.3"/>
  <pageSetup paperSize="9" scale="48" fitToHeight="0" orientation="portrait" r:id="rId1"/>
  <drawing r:id="rId2"/>
  <extLst>
    <ext xmlns:x14="http://schemas.microsoft.com/office/spreadsheetml/2009/9/main" uri="{CCE6A557-97BC-4b89-ADB6-D9C93CAAB3DF}">
      <x14:dataValidations xmlns:xm="http://schemas.microsoft.com/office/excel/2006/main" count="2">
        <x14:dataValidation type="list" showInputMessage="1" showErrorMessage="1" xr:uid="{1FE76DE0-A13F-499A-A157-4B03A8EBDD29}">
          <x14:formula1>
            <xm:f>Calculos!$P$17:$P$24</xm:f>
          </x14:formula1>
          <xm:sqref>C70</xm:sqref>
        </x14:dataValidation>
        <x14:dataValidation type="list" showInputMessage="1" showErrorMessage="1" xr:uid="{37CDBCFE-9977-4271-BBE8-C887E3FBF062}">
          <x14:formula1>
            <xm:f>Calculos!$P$16:$P$27</xm:f>
          </x14:formula1>
          <xm:sqref>C69 J69 C91 J91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D98F-BFCB-4471-8D47-2598FC9AD622}">
  <dimension ref="A1:V125"/>
  <sheetViews>
    <sheetView topLeftCell="H21" zoomScale="85" zoomScaleNormal="85" workbookViewId="0">
      <selection activeCell="T39" sqref="T39"/>
    </sheetView>
  </sheetViews>
  <sheetFormatPr baseColWidth="10" defaultRowHeight="14.5" x14ac:dyDescent="0.35"/>
  <cols>
    <col min="1" max="1" width="17.453125" bestFit="1" customWidth="1"/>
    <col min="2" max="2" width="16.453125" bestFit="1" customWidth="1"/>
    <col min="4" max="4" width="15.1796875" bestFit="1" customWidth="1"/>
    <col min="7" max="7" width="15.1796875" bestFit="1" customWidth="1"/>
    <col min="8" max="8" width="17.453125" bestFit="1" customWidth="1"/>
    <col min="9" max="9" width="16.453125" bestFit="1" customWidth="1"/>
    <col min="10" max="10" width="15.1796875" bestFit="1" customWidth="1"/>
    <col min="11" max="11" width="13.81640625" customWidth="1"/>
    <col min="14" max="14" width="4.54296875" customWidth="1"/>
    <col min="20" max="20" width="19.453125" bestFit="1" customWidth="1"/>
    <col min="21" max="21" width="18.81640625" bestFit="1" customWidth="1"/>
  </cols>
  <sheetData>
    <row r="1" spans="1:22" x14ac:dyDescent="0.35">
      <c r="T1" t="s">
        <v>3</v>
      </c>
      <c r="U1" t="s">
        <v>4</v>
      </c>
      <c r="V1" t="s">
        <v>315</v>
      </c>
    </row>
    <row r="2" spans="1:22" x14ac:dyDescent="0.35">
      <c r="O2" t="s">
        <v>316</v>
      </c>
      <c r="T2" t="s">
        <v>106</v>
      </c>
      <c r="U2" t="s">
        <v>190</v>
      </c>
      <c r="V2" t="s">
        <v>191</v>
      </c>
    </row>
    <row r="3" spans="1:22" ht="20.5" thickBot="1" x14ac:dyDescent="0.55000000000000004">
      <c r="A3" s="17"/>
      <c r="B3" s="17"/>
      <c r="C3" s="17"/>
      <c r="D3" s="17"/>
      <c r="E3" s="236" t="s">
        <v>28</v>
      </c>
      <c r="F3" s="236"/>
      <c r="G3" s="236"/>
      <c r="H3" s="236"/>
      <c r="I3" s="17"/>
      <c r="J3" s="17"/>
      <c r="K3" s="17"/>
      <c r="L3" s="17"/>
      <c r="M3" s="17"/>
      <c r="N3" s="17"/>
      <c r="O3" t="s">
        <v>317</v>
      </c>
      <c r="T3" s="197" t="s">
        <v>337</v>
      </c>
      <c r="U3" t="s">
        <v>324</v>
      </c>
      <c r="V3" t="s">
        <v>333</v>
      </c>
    </row>
    <row r="4" spans="1:22" ht="16.5" thickBot="1" x14ac:dyDescent="0.45">
      <c r="A4" s="9" t="s">
        <v>16</v>
      </c>
      <c r="B4" s="10">
        <f>Upriver!B11</f>
        <v>187</v>
      </c>
      <c r="H4" s="9" t="s">
        <v>16</v>
      </c>
      <c r="I4" s="10">
        <f>Upriver!B11</f>
        <v>187</v>
      </c>
      <c r="N4" s="17"/>
      <c r="O4" t="s">
        <v>28</v>
      </c>
      <c r="T4" t="s">
        <v>167</v>
      </c>
      <c r="U4" t="s">
        <v>283</v>
      </c>
      <c r="V4" t="s">
        <v>323</v>
      </c>
    </row>
    <row r="5" spans="1:22" ht="16.5" thickBot="1" x14ac:dyDescent="0.45">
      <c r="A5" s="6" t="s">
        <v>12</v>
      </c>
      <c r="B5" s="11">
        <f>Upriver!B28</f>
        <v>2</v>
      </c>
      <c r="D5" s="15">
        <v>8.5299999999999994</v>
      </c>
      <c r="E5" s="15">
        <v>9.14</v>
      </c>
      <c r="F5" s="16">
        <v>7.4999999999999997E-2</v>
      </c>
      <c r="H5" s="6" t="s">
        <v>12</v>
      </c>
      <c r="I5" s="11">
        <f>Upriver!C28</f>
        <v>2</v>
      </c>
      <c r="K5" s="15">
        <v>8.5299999999999994</v>
      </c>
      <c r="L5" s="15">
        <v>9.14</v>
      </c>
      <c r="M5" s="16">
        <v>7.4999999999999997E-2</v>
      </c>
      <c r="N5" s="17"/>
      <c r="T5" t="s">
        <v>170</v>
      </c>
      <c r="U5" t="s">
        <v>186</v>
      </c>
      <c r="V5" t="s">
        <v>192</v>
      </c>
    </row>
    <row r="6" spans="1:22" ht="16.5" thickBot="1" x14ac:dyDescent="0.45">
      <c r="A6" s="8" t="s">
        <v>13</v>
      </c>
      <c r="B6" s="11">
        <f>Upriver!B29</f>
        <v>0</v>
      </c>
      <c r="D6" s="15">
        <v>9.14</v>
      </c>
      <c r="E6" s="15">
        <v>9.75</v>
      </c>
      <c r="F6" s="16">
        <v>0.15</v>
      </c>
      <c r="H6" s="8" t="s">
        <v>13</v>
      </c>
      <c r="I6" s="11">
        <f>Upriver!C29</f>
        <v>10.41</v>
      </c>
      <c r="K6" s="15">
        <v>9.14</v>
      </c>
      <c r="L6" s="15">
        <v>9.75</v>
      </c>
      <c r="M6" s="16">
        <v>0.15</v>
      </c>
      <c r="N6" s="17"/>
      <c r="T6" t="s">
        <v>171</v>
      </c>
      <c r="U6" t="s">
        <v>176</v>
      </c>
      <c r="V6" t="s">
        <v>193</v>
      </c>
    </row>
    <row r="7" spans="1:22" ht="16.5" thickBot="1" x14ac:dyDescent="0.45">
      <c r="A7" s="6" t="s">
        <v>14</v>
      </c>
      <c r="B7" s="11">
        <f>Upriver!B30</f>
        <v>0</v>
      </c>
      <c r="D7" s="15">
        <v>9.75</v>
      </c>
      <c r="E7" s="15">
        <v>10.36</v>
      </c>
      <c r="F7" s="16">
        <v>0.22500000000000001</v>
      </c>
      <c r="H7" s="6" t="s">
        <v>14</v>
      </c>
      <c r="I7" s="11">
        <f>Upriver!C30</f>
        <v>6</v>
      </c>
      <c r="K7" s="15">
        <v>9.75</v>
      </c>
      <c r="L7" s="15">
        <v>10.36</v>
      </c>
      <c r="M7" s="16">
        <v>0.22500000000000001</v>
      </c>
      <c r="N7" s="17"/>
      <c r="T7" t="s">
        <v>168</v>
      </c>
      <c r="U7" t="s">
        <v>172</v>
      </c>
      <c r="V7" t="s">
        <v>194</v>
      </c>
    </row>
    <row r="8" spans="1:22" ht="16.5" thickBot="1" x14ac:dyDescent="0.45">
      <c r="A8" s="6" t="s">
        <v>15</v>
      </c>
      <c r="B8" s="11">
        <f>Upriver!B31</f>
        <v>0</v>
      </c>
      <c r="D8" s="15">
        <v>10.36</v>
      </c>
      <c r="E8" s="15"/>
      <c r="F8" s="16">
        <v>0.3</v>
      </c>
      <c r="H8" s="6" t="s">
        <v>15</v>
      </c>
      <c r="I8" s="11">
        <f>Upriver!C31</f>
        <v>1</v>
      </c>
      <c r="K8" s="15">
        <v>10.36</v>
      </c>
      <c r="L8" s="15"/>
      <c r="M8" s="16">
        <v>0.3</v>
      </c>
      <c r="N8" s="17"/>
      <c r="T8" t="s">
        <v>166</v>
      </c>
      <c r="U8" t="s">
        <v>180</v>
      </c>
      <c r="V8" t="s">
        <v>195</v>
      </c>
    </row>
    <row r="9" spans="1:22" ht="16" x14ac:dyDescent="0.4">
      <c r="A9" s="12">
        <f>IF(B4&lt;=65,65*8,B4*8)</f>
        <v>1496</v>
      </c>
      <c r="B9" s="13" t="s">
        <v>17</v>
      </c>
      <c r="H9" s="12">
        <f>IF(I4&lt;=65,65*8,I4*8)</f>
        <v>1496</v>
      </c>
      <c r="I9" s="13" t="s">
        <v>17</v>
      </c>
      <c r="N9" s="17"/>
      <c r="T9" t="s">
        <v>169</v>
      </c>
      <c r="U9" t="s">
        <v>185</v>
      </c>
      <c r="V9" t="s">
        <v>196</v>
      </c>
    </row>
    <row r="10" spans="1:22" ht="16" x14ac:dyDescent="0.4">
      <c r="A10" s="12">
        <f>+A9+A11</f>
        <v>3740</v>
      </c>
      <c r="B10" s="13" t="s">
        <v>18</v>
      </c>
      <c r="H10" s="12">
        <f>+H9+H11</f>
        <v>3740</v>
      </c>
      <c r="I10" s="13" t="s">
        <v>18</v>
      </c>
      <c r="N10" s="17"/>
      <c r="T10" t="s">
        <v>165</v>
      </c>
      <c r="U10" t="s">
        <v>187</v>
      </c>
      <c r="V10" t="s">
        <v>197</v>
      </c>
    </row>
    <row r="11" spans="1:22" ht="16" x14ac:dyDescent="0.4">
      <c r="A11" s="12">
        <f>12*187</f>
        <v>2244</v>
      </c>
      <c r="B11" s="13" t="s">
        <v>19</v>
      </c>
      <c r="H11" s="12">
        <f>12*187</f>
        <v>2244</v>
      </c>
      <c r="I11" s="13" t="s">
        <v>19</v>
      </c>
      <c r="N11" s="17"/>
      <c r="T11" t="s">
        <v>322</v>
      </c>
      <c r="U11" t="s">
        <v>175</v>
      </c>
      <c r="V11" t="s">
        <v>338</v>
      </c>
    </row>
    <row r="12" spans="1:22" ht="16" x14ac:dyDescent="0.4">
      <c r="A12" s="12">
        <f>IF(B6&lt;=8.53,A10*0,IF(B6&lt;=9.14,A10*F5,IF(B6&lt;=9.75,A10*F6,IF(B6&lt;=10.36,A10*F7,IF(B6&gt;=10.37,A10*F8,IF(B6&gt;=10.97,A10*B6,IF(B6&gt;=10.98,A10*B4,0)))))))</f>
        <v>0</v>
      </c>
      <c r="B12" s="13" t="s">
        <v>20</v>
      </c>
      <c r="H12" s="12">
        <f>IF(I6&lt;=8.53,H10*0,IF(I6&lt;=9.14,H10*M5,IF(I6&lt;=9.75,H10*M6,IF(I6&lt;=10.36,H10*M7,IF(I6&gt;=10.37,H10*M8,IF(I6&gt;=10.97,H10*I6,IF(I6&gt;=10.98,H10*I4,0)))))))</f>
        <v>1122</v>
      </c>
      <c r="I12" s="13" t="s">
        <v>20</v>
      </c>
      <c r="N12" s="17"/>
      <c r="T12" t="s">
        <v>321</v>
      </c>
      <c r="U12" t="s">
        <v>184</v>
      </c>
      <c r="V12" t="s">
        <v>180</v>
      </c>
    </row>
    <row r="13" spans="1:22" ht="16" x14ac:dyDescent="0.4">
      <c r="A13" s="12">
        <v>265</v>
      </c>
      <c r="B13" s="14" t="s">
        <v>21</v>
      </c>
      <c r="H13" s="12">
        <v>265</v>
      </c>
      <c r="I13" s="14" t="s">
        <v>21</v>
      </c>
      <c r="N13" s="17"/>
      <c r="U13" t="s">
        <v>334</v>
      </c>
      <c r="V13" t="s">
        <v>198</v>
      </c>
    </row>
    <row r="14" spans="1:22" ht="16" x14ac:dyDescent="0.4">
      <c r="A14" s="12">
        <v>1580</v>
      </c>
      <c r="B14" s="14" t="s">
        <v>22</v>
      </c>
      <c r="H14" s="12">
        <v>1580</v>
      </c>
      <c r="I14" s="14" t="s">
        <v>22</v>
      </c>
      <c r="N14" s="17"/>
      <c r="U14" t="s">
        <v>179</v>
      </c>
      <c r="V14" t="s">
        <v>199</v>
      </c>
    </row>
    <row r="15" spans="1:22" ht="16" x14ac:dyDescent="0.4">
      <c r="A15" s="12">
        <v>800</v>
      </c>
      <c r="B15" s="13" t="s">
        <v>23</v>
      </c>
      <c r="H15" s="12">
        <v>800</v>
      </c>
      <c r="I15" s="13" t="s">
        <v>23</v>
      </c>
      <c r="N15" s="17"/>
      <c r="P15" s="195" t="s">
        <v>91</v>
      </c>
      <c r="U15" t="s">
        <v>173</v>
      </c>
      <c r="V15" t="s">
        <v>200</v>
      </c>
    </row>
    <row r="16" spans="1:22" ht="16" x14ac:dyDescent="0.4">
      <c r="A16" s="12">
        <v>2030</v>
      </c>
      <c r="B16" s="13" t="s">
        <v>24</v>
      </c>
      <c r="H16" s="12">
        <v>2030</v>
      </c>
      <c r="I16" s="13" t="s">
        <v>24</v>
      </c>
      <c r="N16" s="17"/>
      <c r="P16" s="196"/>
      <c r="U16" t="s">
        <v>189</v>
      </c>
      <c r="V16" t="s">
        <v>201</v>
      </c>
    </row>
    <row r="17" spans="1:22" ht="16" x14ac:dyDescent="0.4">
      <c r="A17" s="12">
        <v>1083</v>
      </c>
      <c r="B17" s="14" t="s">
        <v>25</v>
      </c>
      <c r="H17" s="12">
        <v>1083</v>
      </c>
      <c r="I17" s="14" t="s">
        <v>25</v>
      </c>
      <c r="N17" s="17"/>
      <c r="P17" s="196" t="s">
        <v>93</v>
      </c>
      <c r="U17" t="s">
        <v>183</v>
      </c>
      <c r="V17" t="s">
        <v>202</v>
      </c>
    </row>
    <row r="18" spans="1:22" ht="16" x14ac:dyDescent="0.4">
      <c r="A18" s="12">
        <f>+B7*150*B5</f>
        <v>0</v>
      </c>
      <c r="B18" s="14" t="s">
        <v>27</v>
      </c>
      <c r="H18" s="12">
        <f>+I7*150*I5</f>
        <v>1800</v>
      </c>
      <c r="I18" s="14" t="s">
        <v>27</v>
      </c>
      <c r="N18" s="17"/>
      <c r="P18" s="196" t="s">
        <v>92</v>
      </c>
      <c r="U18" t="s">
        <v>178</v>
      </c>
      <c r="V18" t="s">
        <v>203</v>
      </c>
    </row>
    <row r="19" spans="1:22" ht="16" x14ac:dyDescent="0.4">
      <c r="A19" s="12">
        <f>+B4*14*B8</f>
        <v>0</v>
      </c>
      <c r="B19" s="14" t="s">
        <v>26</v>
      </c>
      <c r="H19" s="12">
        <f>+I4*14*I8</f>
        <v>2618</v>
      </c>
      <c r="I19" s="14" t="s">
        <v>26</v>
      </c>
      <c r="N19" s="17"/>
      <c r="P19" s="196" t="s">
        <v>94</v>
      </c>
      <c r="U19" t="s">
        <v>167</v>
      </c>
      <c r="V19" t="s">
        <v>204</v>
      </c>
    </row>
    <row r="20" spans="1:22" x14ac:dyDescent="0.35">
      <c r="N20" s="17"/>
      <c r="P20" s="196" t="s">
        <v>95</v>
      </c>
      <c r="U20" t="s">
        <v>188</v>
      </c>
      <c r="V20" t="s">
        <v>205</v>
      </c>
    </row>
    <row r="21" spans="1:22" x14ac:dyDescent="0.35">
      <c r="A21" s="17"/>
      <c r="B21" s="17"/>
      <c r="C21" s="17"/>
      <c r="D21" s="17"/>
      <c r="E21" s="17"/>
      <c r="F21" s="17"/>
      <c r="G21" s="17"/>
      <c r="H21" s="17"/>
      <c r="I21" s="17"/>
      <c r="J21" s="17"/>
      <c r="K21" s="17"/>
      <c r="L21" s="17"/>
      <c r="M21" s="17"/>
      <c r="N21" s="17"/>
      <c r="P21" s="196" t="s">
        <v>96</v>
      </c>
      <c r="U21" t="s">
        <v>166</v>
      </c>
      <c r="V21" t="s">
        <v>206</v>
      </c>
    </row>
    <row r="22" spans="1:22" x14ac:dyDescent="0.35">
      <c r="A22" s="17"/>
      <c r="B22" s="17"/>
      <c r="C22" s="17"/>
      <c r="D22" s="17"/>
      <c r="E22" s="17"/>
      <c r="F22" s="17"/>
      <c r="G22" s="17"/>
      <c r="H22" s="17"/>
      <c r="I22" s="17"/>
      <c r="J22" s="17"/>
      <c r="K22" s="17"/>
      <c r="L22" s="17"/>
      <c r="M22" s="17"/>
      <c r="N22" s="17"/>
      <c r="P22" s="196" t="s">
        <v>97</v>
      </c>
      <c r="U22" t="s">
        <v>339</v>
      </c>
      <c r="V22" t="s">
        <v>345</v>
      </c>
    </row>
    <row r="23" spans="1:22" x14ac:dyDescent="0.35">
      <c r="P23" s="196" t="s">
        <v>107</v>
      </c>
      <c r="U23" t="s">
        <v>177</v>
      </c>
      <c r="V23" t="s">
        <v>207</v>
      </c>
    </row>
    <row r="24" spans="1:22" x14ac:dyDescent="0.35">
      <c r="P24" s="196" t="s">
        <v>108</v>
      </c>
      <c r="U24" t="s">
        <v>174</v>
      </c>
      <c r="V24" t="s">
        <v>208</v>
      </c>
    </row>
    <row r="25" spans="1:22" ht="20" x14ac:dyDescent="0.5">
      <c r="A25" s="52"/>
      <c r="B25" s="52"/>
      <c r="C25" s="52"/>
      <c r="D25" s="52"/>
      <c r="E25" s="236" t="s">
        <v>101</v>
      </c>
      <c r="F25" s="236"/>
      <c r="G25" s="236"/>
      <c r="H25" s="236"/>
      <c r="I25" s="52"/>
      <c r="J25" s="52"/>
      <c r="K25" s="52"/>
      <c r="L25" s="52"/>
      <c r="M25" s="52"/>
      <c r="N25" s="52"/>
      <c r="P25" s="196"/>
      <c r="U25" t="s">
        <v>181</v>
      </c>
      <c r="V25" t="s">
        <v>209</v>
      </c>
    </row>
    <row r="26" spans="1:22" ht="15" thickBot="1" x14ac:dyDescent="0.4">
      <c r="N26" s="52"/>
      <c r="P26" s="196"/>
      <c r="U26" t="s">
        <v>182</v>
      </c>
      <c r="V26" t="s">
        <v>210</v>
      </c>
    </row>
    <row r="27" spans="1:22" ht="15" thickBot="1" x14ac:dyDescent="0.4">
      <c r="A27" s="84" t="s">
        <v>7</v>
      </c>
      <c r="D27" s="84" t="s">
        <v>99</v>
      </c>
      <c r="G27" s="84" t="s">
        <v>99</v>
      </c>
      <c r="J27" s="63" t="s">
        <v>8</v>
      </c>
      <c r="N27" s="52"/>
      <c r="P27" s="196"/>
      <c r="U27" t="s">
        <v>320</v>
      </c>
      <c r="V27" t="s">
        <v>211</v>
      </c>
    </row>
    <row r="28" spans="1:22" ht="16.5" thickBot="1" x14ac:dyDescent="0.45">
      <c r="A28" s="71" t="s">
        <v>5</v>
      </c>
      <c r="B28" s="64">
        <f>Upriver!B11</f>
        <v>187</v>
      </c>
      <c r="C28" s="65"/>
      <c r="D28" s="71" t="s">
        <v>5</v>
      </c>
      <c r="E28" s="64">
        <f>B28</f>
        <v>187</v>
      </c>
      <c r="F28" s="65"/>
      <c r="G28" s="71" t="s">
        <v>5</v>
      </c>
      <c r="H28" s="64">
        <f>E28</f>
        <v>187</v>
      </c>
      <c r="I28" s="65"/>
      <c r="J28" s="71" t="s">
        <v>5</v>
      </c>
      <c r="K28" s="64">
        <f>B28</f>
        <v>187</v>
      </c>
      <c r="L28" s="65"/>
      <c r="N28" s="52"/>
      <c r="P28" s="196"/>
      <c r="V28" t="s">
        <v>212</v>
      </c>
    </row>
    <row r="29" spans="1:22" ht="17" thickTop="1" thickBot="1" x14ac:dyDescent="0.45">
      <c r="A29" s="72" t="s">
        <v>12</v>
      </c>
      <c r="B29" s="66">
        <f>Upriver!B38</f>
        <v>2</v>
      </c>
      <c r="C29" s="67"/>
      <c r="D29" s="72" t="s">
        <v>12</v>
      </c>
      <c r="E29" s="66">
        <f>Upriver!C38</f>
        <v>0</v>
      </c>
      <c r="F29" s="67"/>
      <c r="G29" s="72" t="s">
        <v>12</v>
      </c>
      <c r="H29" s="66">
        <f>Upriver!D38</f>
        <v>0</v>
      </c>
      <c r="I29" s="67"/>
      <c r="J29" s="86" t="s">
        <v>12</v>
      </c>
      <c r="K29" s="64">
        <f>Upriver!E38</f>
        <v>2</v>
      </c>
      <c r="L29" s="67"/>
      <c r="N29" s="52"/>
      <c r="V29" t="s">
        <v>213</v>
      </c>
    </row>
    <row r="30" spans="1:22" ht="17" thickTop="1" thickBot="1" x14ac:dyDescent="0.45">
      <c r="A30" s="72" t="s">
        <v>121</v>
      </c>
      <c r="B30" s="66">
        <f>Upriver!B39</f>
        <v>391</v>
      </c>
      <c r="C30" s="67"/>
      <c r="D30" s="72" t="s">
        <v>121</v>
      </c>
      <c r="E30" s="66">
        <f>Upriver!C39</f>
        <v>0</v>
      </c>
      <c r="F30" s="67"/>
      <c r="G30" s="72" t="s">
        <v>121</v>
      </c>
      <c r="H30" s="66">
        <f>Upriver!D39</f>
        <v>0</v>
      </c>
      <c r="I30" s="67"/>
      <c r="J30" s="86" t="s">
        <v>121</v>
      </c>
      <c r="K30" s="64">
        <f>Upriver!E39</f>
        <v>377</v>
      </c>
      <c r="L30" s="67"/>
      <c r="N30" s="52"/>
      <c r="V30" t="s">
        <v>214</v>
      </c>
    </row>
    <row r="31" spans="1:22" ht="17" thickTop="1" thickBot="1" x14ac:dyDescent="0.45">
      <c r="A31" s="72" t="s">
        <v>122</v>
      </c>
      <c r="B31" s="66">
        <f>Upriver!B40</f>
        <v>0</v>
      </c>
      <c r="C31" s="67"/>
      <c r="D31" s="72" t="s">
        <v>122</v>
      </c>
      <c r="E31" s="66">
        <f>Upriver!C40</f>
        <v>0</v>
      </c>
      <c r="F31" s="67"/>
      <c r="G31" s="72" t="s">
        <v>122</v>
      </c>
      <c r="H31" s="66">
        <f>Upriver!D40</f>
        <v>0</v>
      </c>
      <c r="I31" s="67"/>
      <c r="J31" s="86" t="s">
        <v>122</v>
      </c>
      <c r="K31" s="64">
        <f>Upriver!E40</f>
        <v>10.41</v>
      </c>
      <c r="L31" s="67"/>
      <c r="N31" s="52"/>
      <c r="V31" t="s">
        <v>215</v>
      </c>
    </row>
    <row r="32" spans="1:22" ht="17" thickTop="1" thickBot="1" x14ac:dyDescent="0.45">
      <c r="A32" s="72" t="s">
        <v>123</v>
      </c>
      <c r="B32" s="66">
        <f>Upriver!B41</f>
        <v>0</v>
      </c>
      <c r="C32" s="68"/>
      <c r="D32" s="72" t="s">
        <v>123</v>
      </c>
      <c r="E32" s="66">
        <f>Upriver!C41</f>
        <v>0</v>
      </c>
      <c r="F32" s="68"/>
      <c r="G32" s="72" t="s">
        <v>123</v>
      </c>
      <c r="H32" s="66">
        <f>Upriver!D41</f>
        <v>0</v>
      </c>
      <c r="I32" s="68"/>
      <c r="J32" s="86" t="s">
        <v>123</v>
      </c>
      <c r="K32" s="64">
        <f>Upriver!E41</f>
        <v>2.5</v>
      </c>
      <c r="L32" s="67"/>
      <c r="N32" s="52"/>
      <c r="V32" t="s">
        <v>216</v>
      </c>
    </row>
    <row r="33" spans="1:22" ht="17" thickTop="1" thickBot="1" x14ac:dyDescent="0.45">
      <c r="A33" s="72" t="s">
        <v>124</v>
      </c>
      <c r="B33" s="66">
        <f>Upriver!B42</f>
        <v>1</v>
      </c>
      <c r="C33" s="68"/>
      <c r="D33" s="72" t="s">
        <v>124</v>
      </c>
      <c r="E33" s="66">
        <f>Upriver!C42</f>
        <v>0</v>
      </c>
      <c r="F33" s="68"/>
      <c r="G33" s="72" t="s">
        <v>124</v>
      </c>
      <c r="H33" s="66">
        <f>Upriver!D42</f>
        <v>0</v>
      </c>
      <c r="I33" s="68"/>
      <c r="J33" s="86" t="s">
        <v>124</v>
      </c>
      <c r="K33" s="64">
        <f>Upriver!E42</f>
        <v>1</v>
      </c>
      <c r="L33" s="67"/>
      <c r="N33" s="52"/>
      <c r="V33" t="s">
        <v>217</v>
      </c>
    </row>
    <row r="34" spans="1:22" ht="16.5" thickTop="1" x14ac:dyDescent="0.4">
      <c r="A34" s="73">
        <f>+B30*12*B29</f>
        <v>9384</v>
      </c>
      <c r="B34" s="74" t="s">
        <v>125</v>
      </c>
      <c r="C34" s="68"/>
      <c r="D34" s="73">
        <f>+E30*12*E29</f>
        <v>0</v>
      </c>
      <c r="E34" s="74" t="s">
        <v>125</v>
      </c>
      <c r="F34" s="68"/>
      <c r="G34" s="73">
        <f>+H30*12*H29</f>
        <v>0</v>
      </c>
      <c r="H34" s="74" t="s">
        <v>125</v>
      </c>
      <c r="I34" s="68"/>
      <c r="J34" s="73">
        <f>+K30*12*K29</f>
        <v>9048</v>
      </c>
      <c r="K34" s="74" t="s">
        <v>125</v>
      </c>
      <c r="L34" s="67"/>
      <c r="N34" s="52"/>
      <c r="V34" t="s">
        <v>218</v>
      </c>
    </row>
    <row r="35" spans="1:22" ht="16" x14ac:dyDescent="0.4">
      <c r="A35" s="73">
        <f>IF(B28&lt;=65,65*8*B29,B28*8*B29)</f>
        <v>2992</v>
      </c>
      <c r="B35" s="74" t="s">
        <v>126</v>
      </c>
      <c r="C35" s="68"/>
      <c r="D35" s="73">
        <f>IF(E28&lt;=65,65*8*E29,E28*8*E29)</f>
        <v>0</v>
      </c>
      <c r="E35" s="74" t="s">
        <v>126</v>
      </c>
      <c r="F35" s="68"/>
      <c r="G35" s="73">
        <f>IF(H28&lt;=65,65*8*H29,H28*8*H29)</f>
        <v>0</v>
      </c>
      <c r="H35" s="74" t="s">
        <v>126</v>
      </c>
      <c r="I35" s="68"/>
      <c r="J35" s="73">
        <f>IF(K28&lt;=65,65*8*K29,K28*8*K29)</f>
        <v>2992</v>
      </c>
      <c r="K35" s="74" t="s">
        <v>126</v>
      </c>
      <c r="L35" s="67"/>
      <c r="N35" s="52"/>
      <c r="V35" t="s">
        <v>219</v>
      </c>
    </row>
    <row r="36" spans="1:22" ht="16" x14ac:dyDescent="0.4">
      <c r="A36" s="75">
        <f>IF(B31&lt;=8.53,SUM(A34:A35)*0,IF(B31&lt;=9.14,SUM(A34:A35)*C44,IF(B31&lt;=9.75,SUM(A34:A35)*C45,IF(B31&lt;=10.36,SUM(A34:A35)*C46,IF(B31&gt;=10.37,SUM(A34:A35)*C47,IF(B31&gt;=10.97,SUM(A34:A35)*C47,IF(B31&gt;=10.98,SUM(A34:A35)*C47,0)))))))</f>
        <v>0</v>
      </c>
      <c r="B36" s="74" t="s">
        <v>127</v>
      </c>
      <c r="C36" s="69"/>
      <c r="D36" s="75">
        <f>IF(E31&lt;=8.53,SUM(D34:D35)*0,IF(E31&lt;=9.14,SUM(D34:D35)*F44,IF(E31&lt;=9.75,SUM(D34:D35)*F45,IF(E31&lt;=10.36,SUM(D34:D35)*F46,IF(E31&gt;=10.37,SUM(D34:D35)*F47,IF(E31&gt;=10.97,SUM(D34:D35)*F47,IF(E31&gt;=10.98,SUM(D34:D35)*F47,0)))))))</f>
        <v>0</v>
      </c>
      <c r="E36" s="74" t="s">
        <v>127</v>
      </c>
      <c r="F36" s="69"/>
      <c r="G36" s="75">
        <f>IF(H31&lt;=8.53,SUM(G34:G35)*0,IF(H31&lt;=9.14,SUM(G34:G35)*I44,IF(H31&lt;=9.75,SUM(G34:G35)*I45,IF(H31&lt;=10.36,SUM(G34:G35)*I46,IF(H31&gt;=10.37,SUM(G34:G35)*I47,IF(H31&gt;=10.97,SUM(G34:G35)*I47,IF(H31&gt;=10.98,SUM(G34:G35)*I47,0)))))))</f>
        <v>0</v>
      </c>
      <c r="H36" s="74" t="s">
        <v>127</v>
      </c>
      <c r="I36" s="69"/>
      <c r="J36" s="75">
        <f>IF(K31&lt;=8.53,SUM(J34:J35)*0,IF(K31&lt;=9.14,SUM(J34:J35)*L44,IF(K31&lt;=9.75,SUM(J34:J35)*L45,IF(K31&lt;=10.36,SUM(J34:J35)*L46,IF(K31&gt;=10.37,SUM(J34:J35)*L47,IF(K31&gt;=10.97,SUM(J34:J35)*L47,IF(K31&gt;=10.98,SUM(J34:J35)*L47,0)))))))</f>
        <v>3612</v>
      </c>
      <c r="K36" s="74" t="s">
        <v>127</v>
      </c>
      <c r="L36" s="67"/>
      <c r="N36" s="52"/>
      <c r="V36" t="s">
        <v>220</v>
      </c>
    </row>
    <row r="37" spans="1:22" ht="16" x14ac:dyDescent="0.4">
      <c r="A37" s="76">
        <f>B32*150*B29</f>
        <v>0</v>
      </c>
      <c r="B37" s="74" t="s">
        <v>123</v>
      </c>
      <c r="C37" s="69"/>
      <c r="D37" s="76">
        <f>E32*150*E29</f>
        <v>0</v>
      </c>
      <c r="E37" s="74" t="s">
        <v>123</v>
      </c>
      <c r="F37" s="69"/>
      <c r="G37" s="76">
        <f>H32*150*H337</f>
        <v>0</v>
      </c>
      <c r="H37" s="74" t="s">
        <v>123</v>
      </c>
      <c r="I37" s="69"/>
      <c r="J37" s="76">
        <f>K32*150*K29</f>
        <v>750</v>
      </c>
      <c r="K37" s="74" t="s">
        <v>123</v>
      </c>
      <c r="L37" s="67"/>
      <c r="N37" s="52"/>
      <c r="V37" t="s">
        <v>221</v>
      </c>
    </row>
    <row r="38" spans="1:22" ht="16" x14ac:dyDescent="0.4">
      <c r="A38" s="76">
        <f>+B28*14*B33</f>
        <v>2618</v>
      </c>
      <c r="B38" s="74" t="s">
        <v>124</v>
      </c>
      <c r="C38" s="68"/>
      <c r="D38" s="76">
        <f>+E28*14*E33</f>
        <v>0</v>
      </c>
      <c r="E38" s="74" t="s">
        <v>124</v>
      </c>
      <c r="F38" s="68"/>
      <c r="G38" s="76">
        <f>+H28*14*H33</f>
        <v>0</v>
      </c>
      <c r="H38" s="74" t="s">
        <v>124</v>
      </c>
      <c r="I38" s="68"/>
      <c r="J38" s="76">
        <f>+K28*14*K33</f>
        <v>2618</v>
      </c>
      <c r="K38" s="74" t="s">
        <v>124</v>
      </c>
      <c r="L38" s="67"/>
      <c r="N38" s="52"/>
      <c r="V38" t="s">
        <v>222</v>
      </c>
    </row>
    <row r="39" spans="1:22" ht="16" x14ac:dyDescent="0.4">
      <c r="A39" s="73">
        <f>4980*B29</f>
        <v>9960</v>
      </c>
      <c r="B39" s="74" t="s">
        <v>128</v>
      </c>
      <c r="C39" s="68"/>
      <c r="D39" s="73">
        <f>4980*E29</f>
        <v>0</v>
      </c>
      <c r="E39" s="74" t="s">
        <v>128</v>
      </c>
      <c r="F39" s="68"/>
      <c r="G39" s="73">
        <f>4980*H29</f>
        <v>0</v>
      </c>
      <c r="H39" s="74" t="s">
        <v>128</v>
      </c>
      <c r="I39" s="68"/>
      <c r="J39" s="73">
        <f>4980*K29</f>
        <v>9960</v>
      </c>
      <c r="K39" s="74" t="s">
        <v>128</v>
      </c>
      <c r="L39" s="67"/>
      <c r="N39" s="52"/>
      <c r="V39" t="s">
        <v>346</v>
      </c>
    </row>
    <row r="40" spans="1:22" ht="16" x14ac:dyDescent="0.4">
      <c r="A40" s="73">
        <v>0</v>
      </c>
      <c r="B40" s="74" t="s">
        <v>129</v>
      </c>
      <c r="C40" s="67"/>
      <c r="D40" s="73">
        <v>0</v>
      </c>
      <c r="E40" s="74" t="s">
        <v>129</v>
      </c>
      <c r="F40" s="67"/>
      <c r="G40" s="73">
        <v>0</v>
      </c>
      <c r="H40" s="74" t="s">
        <v>129</v>
      </c>
      <c r="I40" s="67"/>
      <c r="J40" s="73">
        <v>0</v>
      </c>
      <c r="K40" s="74" t="s">
        <v>129</v>
      </c>
      <c r="L40" s="67"/>
      <c r="N40" s="52"/>
      <c r="V40" t="s">
        <v>223</v>
      </c>
    </row>
    <row r="41" spans="1:22" ht="16" x14ac:dyDescent="0.4">
      <c r="A41" s="73"/>
      <c r="B41" s="74"/>
      <c r="C41" s="67"/>
      <c r="D41" s="73"/>
      <c r="E41" s="74"/>
      <c r="F41" s="67"/>
      <c r="G41" s="73"/>
      <c r="H41" s="74"/>
      <c r="I41" s="67"/>
      <c r="J41" s="73"/>
      <c r="K41" s="74"/>
      <c r="L41" s="67"/>
      <c r="N41" s="52"/>
      <c r="V41" t="s">
        <v>224</v>
      </c>
    </row>
    <row r="42" spans="1:22" x14ac:dyDescent="0.35">
      <c r="A42" s="77">
        <f>SUM(A34:A40)</f>
        <v>24954</v>
      </c>
      <c r="B42" s="78"/>
      <c r="C42" s="67"/>
      <c r="D42" s="77">
        <f>SUM(D34:D40)</f>
        <v>0</v>
      </c>
      <c r="E42" s="78"/>
      <c r="F42" s="67"/>
      <c r="G42" s="77">
        <f>SUM(G34:G40)</f>
        <v>0</v>
      </c>
      <c r="H42" s="78"/>
      <c r="I42" s="67"/>
      <c r="J42" s="77">
        <f>SUM(J34:J40)</f>
        <v>28980</v>
      </c>
      <c r="K42" s="78"/>
      <c r="L42" s="67"/>
      <c r="N42" s="52"/>
      <c r="V42" t="s">
        <v>225</v>
      </c>
    </row>
    <row r="43" spans="1:22" x14ac:dyDescent="0.35">
      <c r="A43" s="238" t="s">
        <v>130</v>
      </c>
      <c r="B43" s="239"/>
      <c r="C43" s="240"/>
      <c r="D43" s="238" t="s">
        <v>130</v>
      </c>
      <c r="E43" s="239"/>
      <c r="F43" s="240"/>
      <c r="G43" s="238" t="s">
        <v>130</v>
      </c>
      <c r="H43" s="239"/>
      <c r="I43" s="240"/>
      <c r="J43" s="238" t="s">
        <v>130</v>
      </c>
      <c r="K43" s="239"/>
      <c r="L43" s="240"/>
      <c r="N43" s="52"/>
      <c r="V43" t="s">
        <v>226</v>
      </c>
    </row>
    <row r="44" spans="1:22" x14ac:dyDescent="0.35">
      <c r="A44" s="82">
        <v>8.5299999999999994</v>
      </c>
      <c r="B44" s="83">
        <v>9.14</v>
      </c>
      <c r="C44" s="70">
        <v>7.4999999999999997E-2</v>
      </c>
      <c r="D44" s="82">
        <v>8.5299999999999994</v>
      </c>
      <c r="E44" s="83">
        <v>9.14</v>
      </c>
      <c r="F44" s="70">
        <v>7.4999999999999997E-2</v>
      </c>
      <c r="G44" s="82">
        <v>8.5299999999999994</v>
      </c>
      <c r="H44" s="83">
        <v>9.14</v>
      </c>
      <c r="I44" s="70">
        <v>7.4999999999999997E-2</v>
      </c>
      <c r="J44" s="82">
        <v>8.5299999999999994</v>
      </c>
      <c r="K44" s="83">
        <v>9.14</v>
      </c>
      <c r="L44" s="70">
        <v>7.4999999999999997E-2</v>
      </c>
      <c r="N44" s="52"/>
      <c r="V44" t="s">
        <v>227</v>
      </c>
    </row>
    <row r="45" spans="1:22" x14ac:dyDescent="0.35">
      <c r="A45" s="82">
        <v>9.14</v>
      </c>
      <c r="B45" s="83">
        <v>9.75</v>
      </c>
      <c r="C45" s="70">
        <v>0.15</v>
      </c>
      <c r="D45" s="82">
        <v>9.14</v>
      </c>
      <c r="E45" s="83">
        <v>9.75</v>
      </c>
      <c r="F45" s="70">
        <v>0.15</v>
      </c>
      <c r="G45" s="82">
        <v>9.14</v>
      </c>
      <c r="H45" s="83">
        <v>9.75</v>
      </c>
      <c r="I45" s="70">
        <v>0.15</v>
      </c>
      <c r="J45" s="82">
        <v>9.14</v>
      </c>
      <c r="K45" s="83">
        <v>9.75</v>
      </c>
      <c r="L45" s="70">
        <v>0.15</v>
      </c>
      <c r="N45" s="52"/>
      <c r="V45" t="s">
        <v>336</v>
      </c>
    </row>
    <row r="46" spans="1:22" x14ac:dyDescent="0.35">
      <c r="A46" s="82">
        <v>9.75</v>
      </c>
      <c r="B46" s="83">
        <v>10.36</v>
      </c>
      <c r="C46" s="70">
        <v>0.22500000000000001</v>
      </c>
      <c r="D46" s="82">
        <v>9.75</v>
      </c>
      <c r="E46" s="83">
        <v>10.36</v>
      </c>
      <c r="F46" s="70">
        <v>0.22500000000000001</v>
      </c>
      <c r="G46" s="82">
        <v>9.75</v>
      </c>
      <c r="H46" s="83">
        <v>10.36</v>
      </c>
      <c r="I46" s="70">
        <v>0.22500000000000001</v>
      </c>
      <c r="J46" s="82">
        <v>9.75</v>
      </c>
      <c r="K46" s="83">
        <v>10.36</v>
      </c>
      <c r="L46" s="70">
        <v>0.22500000000000001</v>
      </c>
      <c r="N46" s="52"/>
      <c r="V46" t="s">
        <v>228</v>
      </c>
    </row>
    <row r="47" spans="1:22" x14ac:dyDescent="0.35">
      <c r="A47" s="82">
        <v>10.36</v>
      </c>
      <c r="B47" s="83"/>
      <c r="C47" s="70">
        <v>0.3</v>
      </c>
      <c r="D47" s="82">
        <v>10.36</v>
      </c>
      <c r="E47" s="83"/>
      <c r="F47" s="70">
        <v>0.3</v>
      </c>
      <c r="G47" s="82">
        <v>10.36</v>
      </c>
      <c r="H47" s="83"/>
      <c r="I47" s="70">
        <v>0.3</v>
      </c>
      <c r="J47" s="82">
        <v>10.36</v>
      </c>
      <c r="K47" s="83"/>
      <c r="L47" s="70">
        <v>0.3</v>
      </c>
      <c r="N47" s="52"/>
      <c r="V47" t="s">
        <v>229</v>
      </c>
    </row>
    <row r="48" spans="1:22" ht="15" thickBot="1" x14ac:dyDescent="0.4">
      <c r="A48" s="79"/>
      <c r="B48" s="80"/>
      <c r="C48" s="81"/>
      <c r="D48" s="79"/>
      <c r="E48" s="80"/>
      <c r="F48" s="81"/>
      <c r="G48" s="79"/>
      <c r="H48" s="80"/>
      <c r="I48" s="81"/>
      <c r="J48" s="79"/>
      <c r="K48" s="80"/>
      <c r="L48" s="81"/>
      <c r="N48" s="52"/>
      <c r="V48" t="s">
        <v>230</v>
      </c>
    </row>
    <row r="49" spans="1:22" x14ac:dyDescent="0.35">
      <c r="N49" s="52"/>
      <c r="V49" t="s">
        <v>231</v>
      </c>
    </row>
    <row r="50" spans="1:22" x14ac:dyDescent="0.35">
      <c r="A50" s="52"/>
      <c r="B50" s="52"/>
      <c r="C50" s="52"/>
      <c r="D50" s="52"/>
      <c r="E50" s="52"/>
      <c r="F50" s="52"/>
      <c r="G50" s="52"/>
      <c r="H50" s="52"/>
      <c r="I50" s="52"/>
      <c r="J50" s="52"/>
      <c r="K50" s="52"/>
      <c r="L50" s="52"/>
      <c r="M50" s="52"/>
      <c r="N50" s="52"/>
      <c r="V50" t="s">
        <v>232</v>
      </c>
    </row>
    <row r="51" spans="1:22" x14ac:dyDescent="0.35">
      <c r="A51" s="52"/>
      <c r="B51" s="52"/>
      <c r="C51" s="52"/>
      <c r="D51" s="52"/>
      <c r="E51" s="52"/>
      <c r="F51" s="52"/>
      <c r="G51" s="52"/>
      <c r="H51" s="52"/>
      <c r="I51" s="52"/>
      <c r="J51" s="52"/>
      <c r="K51" s="52"/>
      <c r="L51" s="52"/>
      <c r="M51" s="52"/>
      <c r="N51" s="52"/>
      <c r="V51" t="s">
        <v>233</v>
      </c>
    </row>
    <row r="52" spans="1:22" x14ac:dyDescent="0.35">
      <c r="V52" t="s">
        <v>234</v>
      </c>
    </row>
    <row r="53" spans="1:22" ht="20" x14ac:dyDescent="0.5">
      <c r="A53" s="90"/>
      <c r="B53" s="90"/>
      <c r="C53" s="90"/>
      <c r="D53" s="90"/>
      <c r="E53" s="236" t="s">
        <v>133</v>
      </c>
      <c r="F53" s="236"/>
      <c r="G53" s="236"/>
      <c r="H53" s="236"/>
      <c r="I53" s="90"/>
      <c r="J53" s="90"/>
      <c r="K53" s="90"/>
      <c r="L53" s="90"/>
      <c r="M53" s="90"/>
      <c r="N53" s="90"/>
      <c r="V53" t="s">
        <v>235</v>
      </c>
    </row>
    <row r="54" spans="1:22" x14ac:dyDescent="0.35">
      <c r="C54" s="7"/>
      <c r="E54" s="265"/>
      <c r="F54" s="265"/>
      <c r="G54" s="265"/>
      <c r="H54" s="265"/>
      <c r="K54" t="s">
        <v>153</v>
      </c>
      <c r="L54" t="s">
        <v>153</v>
      </c>
      <c r="N54" s="90"/>
      <c r="V54" t="s">
        <v>236</v>
      </c>
    </row>
    <row r="55" spans="1:22" x14ac:dyDescent="0.35">
      <c r="A55" s="15">
        <v>8.5299999999999994</v>
      </c>
      <c r="B55" s="15">
        <v>9.14</v>
      </c>
      <c r="C55" s="16">
        <v>7.4999999999999997E-2</v>
      </c>
      <c r="D55" s="87" t="s">
        <v>134</v>
      </c>
      <c r="E55" s="7">
        <f>IF(B31&lt;=8.53,(+B28*14*1)*0,IF(B31&lt;=9.14,(+B28*14*1)*C55,IF(B31&lt;=9.75,(+B28*14*1)*C56,IF(B31&lt;=10.36,(+B28*14*1)*C57,IF(B31&gt;=10.37,(+B28*14*1)*C58,IF(B31&gt;=10.97,(+B28*14*1)*C58,IF(B31&gt;=10.98,(+B28*14*1)*C58,0)))))))+(+B28*14*1)</f>
        <v>2618</v>
      </c>
      <c r="F55" s="7">
        <f>IF(E31&lt;=8.53,(+E28*14*1)*0,IF(E31&lt;=9.14,(+E28*14*1)*C55,IF(E31&lt;=9.75,(+E28*14*1)*C56,IF(E31&lt;=10.36,(+E28*14*1)*C57,IF(E31&gt;=10.37,(+E28*14*1)*C58,IF(E31&gt;=10.97,(+E28*14*1)*C58,IF(E31&gt;=10.98,(+E28*14*1)*C58,0)))))))+(+E28*14*1)</f>
        <v>2618</v>
      </c>
      <c r="G55" s="7">
        <f>IF(H31&lt;=8.53,(+H28*14*1)*0,IF(H31&lt;=9.14,(+H28*14*1)*C55,IF(H31&lt;=9.75,(+H28*14*1)*C56,IF(H31&lt;=10.36,(+H28*14*1)*C57,IF(H31&gt;=10.37,(+H28*14*1)*C58,IF(H31&gt;=10.97,(+H28*14*1)*C58,IF(H31&gt;=10.98,(+H28*14*1)*C58,0)))))))+(+H28*14*1)</f>
        <v>2618</v>
      </c>
      <c r="H55" s="7">
        <f>IF(K31&lt;=8.53,(+K28*14*1)*0,IF(K31&lt;=9.14,(+K28*14*1)*C55,IF(K31&lt;=9.75,(+K28*14*1)*C56,IF(K31&lt;=10.36,(+K28*14*1)*C57,IF(K31&gt;=10.37,(+K28*14*1)*C58,IF(K31&gt;=10.97,(+K28*14*1)*C58,IF(K31&gt;=10.98,(+K28*14*1)*C58,0)))))))+(+K28*14*1)</f>
        <v>3403.4</v>
      </c>
      <c r="K55">
        <f>E55-(K28*14)</f>
        <v>0</v>
      </c>
      <c r="L55">
        <f>H55-(K28*14)</f>
        <v>785.40000000000009</v>
      </c>
      <c r="N55" s="90"/>
      <c r="V55" t="s">
        <v>237</v>
      </c>
    </row>
    <row r="56" spans="1:22" x14ac:dyDescent="0.35">
      <c r="A56" s="15">
        <v>9.14</v>
      </c>
      <c r="B56" s="15">
        <v>9.75</v>
      </c>
      <c r="C56" s="16">
        <v>0.15</v>
      </c>
      <c r="D56" s="87" t="s">
        <v>135</v>
      </c>
      <c r="E56" s="7">
        <f>Upriver!B49*150</f>
        <v>0</v>
      </c>
      <c r="F56" s="7">
        <f>Upriver!C49*150</f>
        <v>0</v>
      </c>
      <c r="G56" s="7">
        <f>Upriver!D49*150</f>
        <v>0</v>
      </c>
      <c r="H56" s="7">
        <f>Upriver!E49*150</f>
        <v>0</v>
      </c>
      <c r="N56" s="90"/>
      <c r="V56" t="s">
        <v>238</v>
      </c>
    </row>
    <row r="57" spans="1:22" x14ac:dyDescent="0.35">
      <c r="A57" s="15">
        <v>9.75</v>
      </c>
      <c r="B57" s="15">
        <v>10.36</v>
      </c>
      <c r="C57" s="16">
        <v>0.22500000000000001</v>
      </c>
      <c r="D57" s="88" t="s">
        <v>137</v>
      </c>
      <c r="E57" s="89">
        <f>B28*Upriver!B50*14</f>
        <v>2618</v>
      </c>
      <c r="F57" s="89">
        <f>C28*Upriver!C50*14</f>
        <v>0</v>
      </c>
      <c r="G57" s="89">
        <f>E28*Upriver!D50*14</f>
        <v>0</v>
      </c>
      <c r="H57" s="89">
        <f>E28*Upriver!E50*14</f>
        <v>0</v>
      </c>
      <c r="N57" s="90"/>
      <c r="V57" t="s">
        <v>239</v>
      </c>
    </row>
    <row r="58" spans="1:22" x14ac:dyDescent="0.35">
      <c r="A58" s="15">
        <v>10.36</v>
      </c>
      <c r="B58" s="15"/>
      <c r="C58" s="16">
        <v>0.3</v>
      </c>
      <c r="D58" s="87" t="s">
        <v>138</v>
      </c>
      <c r="E58" s="7">
        <f>IF(Upriver!B38&gt;0,2900,0)</f>
        <v>2900</v>
      </c>
      <c r="F58" s="7">
        <f>IF(Upriver!C38&gt;0,2900,0)</f>
        <v>0</v>
      </c>
      <c r="G58" s="7">
        <f>IF(Upriver!D38&gt;0,2900,0)</f>
        <v>0</v>
      </c>
      <c r="H58" s="7">
        <f>IF(Upriver!E38&gt;0,2900,0)</f>
        <v>2900</v>
      </c>
      <c r="N58" s="90"/>
      <c r="V58" t="s">
        <v>240</v>
      </c>
    </row>
    <row r="59" spans="1:22" x14ac:dyDescent="0.35">
      <c r="A59" s="4"/>
      <c r="B59" s="4"/>
      <c r="C59" s="4"/>
      <c r="D59" s="87" t="s">
        <v>53</v>
      </c>
      <c r="E59" s="7">
        <f>SUM(E55:E58)</f>
        <v>8136</v>
      </c>
      <c r="F59" s="7">
        <f>SUM(F55:F58)</f>
        <v>2618</v>
      </c>
      <c r="G59" s="7">
        <f>SUM(G55:G58)</f>
        <v>2618</v>
      </c>
      <c r="H59" s="7">
        <f>SUM(H55:H58)</f>
        <v>6303.4</v>
      </c>
      <c r="N59" s="90"/>
      <c r="V59" t="s">
        <v>241</v>
      </c>
    </row>
    <row r="60" spans="1:22" x14ac:dyDescent="0.35">
      <c r="A60" s="4"/>
      <c r="B60" s="4"/>
      <c r="C60" s="4"/>
      <c r="E60" s="237">
        <f>+E59+F59+G59+H59</f>
        <v>19675.400000000001</v>
      </c>
      <c r="F60" s="237"/>
      <c r="G60" s="237"/>
      <c r="H60" s="237"/>
      <c r="N60" s="90"/>
      <c r="V60" t="s">
        <v>242</v>
      </c>
    </row>
    <row r="61" spans="1:22" x14ac:dyDescent="0.35">
      <c r="N61" s="90"/>
      <c r="V61" t="s">
        <v>243</v>
      </c>
    </row>
    <row r="62" spans="1:22" ht="15" thickBot="1" x14ac:dyDescent="0.4">
      <c r="N62" s="90"/>
      <c r="V62" t="s">
        <v>335</v>
      </c>
    </row>
    <row r="63" spans="1:22" x14ac:dyDescent="0.35">
      <c r="A63" s="243" t="s">
        <v>144</v>
      </c>
      <c r="B63" s="244"/>
      <c r="C63" s="244"/>
      <c r="D63" s="244"/>
      <c r="E63" s="244"/>
      <c r="F63" s="244"/>
      <c r="G63" s="244"/>
      <c r="H63" s="244"/>
      <c r="I63" s="244"/>
      <c r="J63" s="244"/>
      <c r="K63" s="95" t="s">
        <v>145</v>
      </c>
      <c r="N63" s="90"/>
    </row>
    <row r="64" spans="1:22" x14ac:dyDescent="0.35">
      <c r="A64" s="245"/>
      <c r="B64" s="246"/>
      <c r="C64" s="246"/>
      <c r="D64" s="246"/>
      <c r="E64" s="246"/>
      <c r="F64" s="246"/>
      <c r="G64" s="246"/>
      <c r="H64" s="246"/>
      <c r="I64" s="246"/>
      <c r="J64" s="246"/>
      <c r="K64" s="249">
        <f>Upriver!B11</f>
        <v>187</v>
      </c>
      <c r="N64" s="90"/>
    </row>
    <row r="65" spans="1:14" ht="15" thickBot="1" x14ac:dyDescent="0.4">
      <c r="A65" s="247"/>
      <c r="B65" s="248"/>
      <c r="C65" s="248"/>
      <c r="D65" s="248"/>
      <c r="E65" s="248"/>
      <c r="F65" s="248"/>
      <c r="G65" s="248"/>
      <c r="H65" s="248"/>
      <c r="I65" s="248"/>
      <c r="J65" s="248"/>
      <c r="K65" s="250"/>
      <c r="N65" s="90"/>
    </row>
    <row r="66" spans="1:14" ht="15" thickBot="1" x14ac:dyDescent="0.4">
      <c r="N66" s="90"/>
    </row>
    <row r="67" spans="1:14" ht="15" thickBot="1" x14ac:dyDescent="0.4">
      <c r="A67" s="100"/>
      <c r="B67" s="100"/>
      <c r="C67" s="100"/>
      <c r="D67" s="100"/>
      <c r="E67" s="255" t="s">
        <v>146</v>
      </c>
      <c r="F67" s="256"/>
      <c r="G67" s="100"/>
      <c r="H67" s="100"/>
      <c r="I67" s="100"/>
      <c r="J67" s="100"/>
      <c r="K67" s="100"/>
      <c r="L67" s="100"/>
      <c r="M67" s="100"/>
      <c r="N67" s="90"/>
    </row>
    <row r="68" spans="1:14" ht="15" thickBot="1" x14ac:dyDescent="0.4">
      <c r="N68" s="90"/>
    </row>
    <row r="69" spans="1:14" ht="14.5" customHeight="1" x14ac:dyDescent="0.35">
      <c r="A69" s="251" t="s">
        <v>140</v>
      </c>
      <c r="B69" s="252"/>
      <c r="C69" s="91" t="s">
        <v>141</v>
      </c>
      <c r="D69" s="257">
        <f>K64*8+C70*12</f>
        <v>1712</v>
      </c>
      <c r="F69" s="251" t="s">
        <v>142</v>
      </c>
      <c r="G69" s="252"/>
      <c r="H69" s="91" t="s">
        <v>141</v>
      </c>
      <c r="I69" s="259">
        <f>K64*8+H70*12</f>
        <v>1796</v>
      </c>
      <c r="N69" s="90"/>
    </row>
    <row r="70" spans="1:14" ht="15" thickBot="1" x14ac:dyDescent="0.4">
      <c r="A70" s="253"/>
      <c r="B70" s="254"/>
      <c r="C70" s="93">
        <v>18</v>
      </c>
      <c r="D70" s="258"/>
      <c r="F70" s="253"/>
      <c r="G70" s="254"/>
      <c r="H70" s="93">
        <v>25</v>
      </c>
      <c r="I70" s="260"/>
      <c r="N70" s="90"/>
    </row>
    <row r="71" spans="1:14" ht="15" thickBot="1" x14ac:dyDescent="0.4">
      <c r="B71" s="85"/>
      <c r="C71" s="85"/>
      <c r="D71" s="85"/>
      <c r="K71" s="85"/>
      <c r="L71" s="85"/>
      <c r="N71" s="90"/>
    </row>
    <row r="72" spans="1:14" x14ac:dyDescent="0.35">
      <c r="A72" s="7"/>
      <c r="B72" s="85"/>
      <c r="C72" s="85"/>
      <c r="D72" s="121">
        <f>IF(K31&lt;=8.53,(+D69*1)*0,IF(K31&lt;=9.14,(+D69*C55),IF(K31&lt;=9.75,(+D69*C56),IF(K31&lt;=10.36,(+D69*C57),IF(K31&gt;=10.37,(+D69*C58)*0)))))</f>
        <v>0</v>
      </c>
      <c r="I72" s="261" t="s">
        <v>143</v>
      </c>
      <c r="J72" s="262"/>
      <c r="K72" s="92" t="s">
        <v>141</v>
      </c>
      <c r="L72" s="241">
        <f>K64*8+K73*12</f>
        <v>1760</v>
      </c>
      <c r="N72" s="90"/>
    </row>
    <row r="73" spans="1:14" ht="15" thickBot="1" x14ac:dyDescent="0.4">
      <c r="A73" s="7"/>
      <c r="I73" s="263"/>
      <c r="J73" s="264"/>
      <c r="K73" s="94">
        <v>22</v>
      </c>
      <c r="L73" s="242"/>
      <c r="N73" s="90"/>
    </row>
    <row r="74" spans="1:14" x14ac:dyDescent="0.35">
      <c r="A74" s="7"/>
      <c r="N74" s="90"/>
    </row>
    <row r="75" spans="1:14" ht="15" thickBot="1" x14ac:dyDescent="0.4">
      <c r="A75" s="7"/>
      <c r="N75" s="90"/>
    </row>
    <row r="76" spans="1:14" ht="15" thickBot="1" x14ac:dyDescent="0.4">
      <c r="A76" s="177"/>
      <c r="B76" s="177"/>
      <c r="C76" s="177"/>
      <c r="D76" s="177"/>
      <c r="E76" s="266" t="s">
        <v>164</v>
      </c>
      <c r="F76" s="267"/>
      <c r="G76" s="177"/>
      <c r="H76" s="177"/>
      <c r="I76" s="177"/>
      <c r="J76" s="177"/>
      <c r="K76" s="177"/>
      <c r="L76" s="177"/>
      <c r="M76" s="177"/>
      <c r="N76" s="90"/>
    </row>
    <row r="77" spans="1:14" x14ac:dyDescent="0.35">
      <c r="N77" s="90"/>
    </row>
    <row r="78" spans="1:14" ht="14.5" customHeight="1" x14ac:dyDescent="0.35">
      <c r="N78" s="90"/>
    </row>
    <row r="79" spans="1:14" ht="15" thickBot="1" x14ac:dyDescent="0.4">
      <c r="N79" s="90"/>
    </row>
    <row r="80" spans="1:14" x14ac:dyDescent="0.35">
      <c r="B80" s="251" t="s">
        <v>150</v>
      </c>
      <c r="C80" s="252"/>
      <c r="D80" s="96" t="s">
        <v>147</v>
      </c>
      <c r="E80" s="268">
        <f>K64*8+D81*12</f>
        <v>1736</v>
      </c>
      <c r="G80" s="272" t="s">
        <v>149</v>
      </c>
      <c r="H80" s="273"/>
      <c r="I80" s="98" t="s">
        <v>148</v>
      </c>
      <c r="J80" s="270">
        <f>K64*8+I81*12</f>
        <v>1820</v>
      </c>
      <c r="N80" s="90"/>
    </row>
    <row r="81" spans="1:16" ht="15" thickBot="1" x14ac:dyDescent="0.4">
      <c r="B81" s="253"/>
      <c r="C81" s="254"/>
      <c r="D81" s="97">
        <v>20</v>
      </c>
      <c r="E81" s="269"/>
      <c r="G81" s="274"/>
      <c r="H81" s="275"/>
      <c r="I81" s="99">
        <v>27</v>
      </c>
      <c r="J81" s="271"/>
      <c r="N81" s="90"/>
    </row>
    <row r="82" spans="1:16" x14ac:dyDescent="0.35">
      <c r="N82" s="90"/>
    </row>
    <row r="83" spans="1:16" x14ac:dyDescent="0.35">
      <c r="N83" s="90"/>
    </row>
    <row r="84" spans="1:16" x14ac:dyDescent="0.35">
      <c r="A84" s="90"/>
      <c r="B84" s="90"/>
      <c r="C84" s="90"/>
      <c r="D84" s="90"/>
      <c r="E84" s="90"/>
      <c r="F84" s="90"/>
      <c r="G84" s="90"/>
      <c r="H84" s="90"/>
      <c r="I84" s="90"/>
      <c r="J84" s="90"/>
      <c r="K84" s="90"/>
      <c r="L84" s="90"/>
      <c r="M84" s="90"/>
      <c r="N84" s="90"/>
    </row>
    <row r="85" spans="1:16" x14ac:dyDescent="0.35">
      <c r="A85" s="90"/>
      <c r="B85" s="90"/>
      <c r="C85" s="90"/>
      <c r="D85" s="90"/>
      <c r="E85" s="90"/>
      <c r="F85" s="90"/>
      <c r="G85" s="90"/>
      <c r="H85" s="90"/>
      <c r="I85" s="90"/>
      <c r="J85" s="90"/>
      <c r="K85" s="90"/>
      <c r="L85" s="90"/>
      <c r="M85" s="90"/>
      <c r="N85" s="90"/>
    </row>
    <row r="87" spans="1:16" ht="20" x14ac:dyDescent="0.5">
      <c r="A87" s="176"/>
      <c r="B87" s="176"/>
      <c r="C87" s="176"/>
      <c r="D87" s="176"/>
      <c r="E87" s="236" t="s">
        <v>284</v>
      </c>
      <c r="F87" s="236"/>
      <c r="G87" s="236"/>
      <c r="H87" s="236"/>
      <c r="I87" s="176"/>
      <c r="J87" s="176"/>
      <c r="K87" s="176"/>
      <c r="L87" s="176"/>
      <c r="M87" s="176"/>
      <c r="N87" s="176"/>
    </row>
    <row r="88" spans="1:16" ht="15" thickBot="1" x14ac:dyDescent="0.4">
      <c r="N88" s="176"/>
    </row>
    <row r="89" spans="1:16" ht="17" thickTop="1" thickBot="1" x14ac:dyDescent="0.45">
      <c r="A89" s="189" t="s">
        <v>5</v>
      </c>
      <c r="B89" s="190">
        <f>Upriver!B11</f>
        <v>187</v>
      </c>
      <c r="C89" s="178">
        <f>B89*14</f>
        <v>2618</v>
      </c>
      <c r="N89" s="176"/>
    </row>
    <row r="90" spans="1:16" ht="16.5" thickTop="1" x14ac:dyDescent="0.4">
      <c r="H90" s="179"/>
      <c r="K90" s="180" t="s">
        <v>288</v>
      </c>
      <c r="N90" s="176"/>
      <c r="P90" t="s">
        <v>289</v>
      </c>
    </row>
    <row r="91" spans="1:16" ht="16" x14ac:dyDescent="0.4">
      <c r="A91" s="277" t="s">
        <v>290</v>
      </c>
      <c r="B91" s="277"/>
      <c r="C91" s="277"/>
      <c r="F91" s="277" t="s">
        <v>291</v>
      </c>
      <c r="G91" s="277"/>
      <c r="H91" s="277"/>
      <c r="K91" s="181" t="s">
        <v>292</v>
      </c>
      <c r="N91" s="176"/>
      <c r="P91" t="s">
        <v>293</v>
      </c>
    </row>
    <row r="92" spans="1:16" ht="16" x14ac:dyDescent="0.4">
      <c r="A92" s="181" t="s">
        <v>294</v>
      </c>
      <c r="B92" s="12">
        <f>C92*2</f>
        <v>5236</v>
      </c>
      <c r="C92" s="12">
        <f>B89*14</f>
        <v>2618</v>
      </c>
      <c r="F92" s="13" t="s">
        <v>294</v>
      </c>
      <c r="G92" s="12">
        <f>H92*2</f>
        <v>5236</v>
      </c>
      <c r="H92" s="12">
        <f>B89*14</f>
        <v>2618</v>
      </c>
      <c r="K92" s="181" t="s">
        <v>295</v>
      </c>
      <c r="N92" s="176"/>
    </row>
    <row r="93" spans="1:16" ht="16" x14ac:dyDescent="0.4">
      <c r="A93" s="181" t="s">
        <v>296</v>
      </c>
      <c r="B93" s="12">
        <f>C93*2</f>
        <v>0</v>
      </c>
      <c r="C93" s="12"/>
      <c r="F93" s="13" t="s">
        <v>296</v>
      </c>
      <c r="G93" s="12">
        <f>H93*2</f>
        <v>1460.5</v>
      </c>
      <c r="H93" s="12">
        <v>730.25</v>
      </c>
      <c r="K93" s="181" t="s">
        <v>297</v>
      </c>
      <c r="N93" s="176"/>
    </row>
    <row r="94" spans="1:16" ht="16" x14ac:dyDescent="0.4">
      <c r="A94" s="181" t="s">
        <v>298</v>
      </c>
      <c r="B94" s="12">
        <f>C94*2</f>
        <v>5640</v>
      </c>
      <c r="C94" s="12">
        <v>2820</v>
      </c>
      <c r="D94" s="182"/>
      <c r="F94" s="13" t="s">
        <v>298</v>
      </c>
      <c r="G94" s="12">
        <f>H94*2</f>
        <v>5540</v>
      </c>
      <c r="H94" s="12">
        <v>2770</v>
      </c>
      <c r="K94" s="181" t="s">
        <v>299</v>
      </c>
      <c r="N94" s="176"/>
    </row>
    <row r="95" spans="1:16" ht="16" x14ac:dyDescent="0.4">
      <c r="A95" s="181" t="s">
        <v>289</v>
      </c>
      <c r="B95" s="12">
        <f>IF(A95="Giro",C92,0)</f>
        <v>0</v>
      </c>
      <c r="C95" s="12"/>
      <c r="F95" s="181" t="s">
        <v>289</v>
      </c>
      <c r="G95" s="12">
        <f>IF(F95="Giro",H92,0)</f>
        <v>0</v>
      </c>
      <c r="H95" s="12"/>
      <c r="K95" s="181" t="s">
        <v>300</v>
      </c>
      <c r="N95" s="176"/>
    </row>
    <row r="96" spans="1:16" ht="15.5" x14ac:dyDescent="0.35">
      <c r="D96" s="181"/>
      <c r="K96" s="181" t="s">
        <v>301</v>
      </c>
      <c r="N96" s="176"/>
    </row>
    <row r="97" spans="1:14" ht="16" thickBot="1" x14ac:dyDescent="0.4">
      <c r="K97" s="181" t="s">
        <v>302</v>
      </c>
      <c r="N97" s="176"/>
    </row>
    <row r="98" spans="1:14" ht="16.5" thickBot="1" x14ac:dyDescent="0.45">
      <c r="A98" s="183" t="s">
        <v>303</v>
      </c>
      <c r="B98" s="184">
        <f>B92+B95</f>
        <v>5236</v>
      </c>
      <c r="C98" s="185" t="s">
        <v>304</v>
      </c>
      <c r="F98" s="183" t="s">
        <v>303</v>
      </c>
      <c r="G98" s="184">
        <f>G92+G95</f>
        <v>5236</v>
      </c>
      <c r="H98" s="185" t="s">
        <v>304</v>
      </c>
      <c r="K98" s="181" t="s">
        <v>305</v>
      </c>
      <c r="N98" s="176"/>
    </row>
    <row r="99" spans="1:14" ht="16.5" thickBot="1" x14ac:dyDescent="0.45">
      <c r="A99" s="183" t="s">
        <v>306</v>
      </c>
      <c r="B99" s="184">
        <f>B93+B94</f>
        <v>5640</v>
      </c>
      <c r="F99" s="183" t="s">
        <v>306</v>
      </c>
      <c r="G99" s="184">
        <f>G93+G94</f>
        <v>7000.5</v>
      </c>
      <c r="K99" s="181" t="s">
        <v>307</v>
      </c>
      <c r="N99" s="176"/>
    </row>
    <row r="100" spans="1:14" ht="16.5" thickBot="1" x14ac:dyDescent="0.45">
      <c r="A100" s="183" t="s">
        <v>308</v>
      </c>
      <c r="B100" s="184">
        <f>(B98+B99)*0.1</f>
        <v>1087.6000000000001</v>
      </c>
      <c r="F100" s="183" t="s">
        <v>308</v>
      </c>
      <c r="G100" s="184">
        <f>(G98+G99)*0.1</f>
        <v>1223.6500000000001</v>
      </c>
      <c r="N100" s="176"/>
    </row>
    <row r="101" spans="1:14" x14ac:dyDescent="0.35">
      <c r="N101" s="176"/>
    </row>
    <row r="102" spans="1:14" ht="16" x14ac:dyDescent="0.4">
      <c r="A102" s="277" t="s">
        <v>309</v>
      </c>
      <c r="B102" s="277"/>
      <c r="C102" s="277"/>
      <c r="N102" s="176"/>
    </row>
    <row r="103" spans="1:14" ht="16" x14ac:dyDescent="0.4">
      <c r="A103" s="181" t="s">
        <v>294</v>
      </c>
      <c r="B103" s="12">
        <f>C103*2</f>
        <v>5236</v>
      </c>
      <c r="C103" s="12">
        <f>B89*14</f>
        <v>2618</v>
      </c>
      <c r="F103" s="277" t="s">
        <v>310</v>
      </c>
      <c r="G103" s="277"/>
      <c r="H103" s="277"/>
      <c r="K103" s="276" t="s">
        <v>311</v>
      </c>
      <c r="L103" s="276"/>
      <c r="M103" s="276"/>
      <c r="N103" s="176"/>
    </row>
    <row r="104" spans="1:14" ht="16" x14ac:dyDescent="0.4">
      <c r="A104" s="181" t="s">
        <v>296</v>
      </c>
      <c r="B104" s="12">
        <f>C104*2</f>
        <v>1472</v>
      </c>
      <c r="C104" s="12">
        <v>736</v>
      </c>
      <c r="D104" t="s">
        <v>312</v>
      </c>
      <c r="F104" s="13" t="s">
        <v>294</v>
      </c>
      <c r="G104" s="12">
        <f>H104*2</f>
        <v>5236</v>
      </c>
      <c r="H104" s="12">
        <f>B89*14</f>
        <v>2618</v>
      </c>
      <c r="K104" s="276"/>
      <c r="L104" s="276"/>
      <c r="M104" s="276"/>
      <c r="N104" s="176"/>
    </row>
    <row r="105" spans="1:14" ht="16" x14ac:dyDescent="0.4">
      <c r="A105" s="181" t="s">
        <v>298</v>
      </c>
      <c r="B105" s="12">
        <f>C105*2</f>
        <v>6040</v>
      </c>
      <c r="C105" s="12">
        <v>3020</v>
      </c>
      <c r="F105" s="13" t="s">
        <v>296</v>
      </c>
      <c r="G105" s="12">
        <f>H105*2</f>
        <v>805</v>
      </c>
      <c r="H105" s="12">
        <v>402.5</v>
      </c>
      <c r="K105" s="186"/>
      <c r="L105" s="186"/>
      <c r="M105" s="186"/>
      <c r="N105" s="176"/>
    </row>
    <row r="106" spans="1:14" ht="16" x14ac:dyDescent="0.4">
      <c r="A106" s="181" t="s">
        <v>289</v>
      </c>
      <c r="B106" s="12">
        <f>IF(A106="Giro",C103,0)</f>
        <v>0</v>
      </c>
      <c r="C106" s="12"/>
      <c r="F106" s="13" t="s">
        <v>298</v>
      </c>
      <c r="G106" s="12">
        <f>H106*2</f>
        <v>5640</v>
      </c>
      <c r="H106" s="12">
        <v>2820</v>
      </c>
      <c r="N106" s="176"/>
    </row>
    <row r="107" spans="1:14" ht="16" x14ac:dyDescent="0.4">
      <c r="F107" s="181" t="s">
        <v>289</v>
      </c>
      <c r="G107" s="12">
        <f>IF(F107="Giro",H104,0)</f>
        <v>0</v>
      </c>
      <c r="H107" s="12"/>
      <c r="N107" s="176"/>
    </row>
    <row r="108" spans="1:14" ht="15" thickBot="1" x14ac:dyDescent="0.4">
      <c r="N108" s="176"/>
    </row>
    <row r="109" spans="1:14" ht="16.5" thickBot="1" x14ac:dyDescent="0.45">
      <c r="A109" s="183" t="s">
        <v>303</v>
      </c>
      <c r="B109" s="184">
        <f>B103+B106</f>
        <v>5236</v>
      </c>
      <c r="C109" s="185" t="s">
        <v>304</v>
      </c>
      <c r="F109" s="183" t="s">
        <v>303</v>
      </c>
      <c r="G109" s="184">
        <f>G104+G107</f>
        <v>5236</v>
      </c>
      <c r="H109" s="185" t="s">
        <v>304</v>
      </c>
      <c r="N109" s="176"/>
    </row>
    <row r="110" spans="1:14" ht="16.5" thickBot="1" x14ac:dyDescent="0.45">
      <c r="A110" s="183" t="s">
        <v>306</v>
      </c>
      <c r="B110" s="184">
        <f>B104+B105</f>
        <v>7512</v>
      </c>
      <c r="F110" s="183" t="s">
        <v>306</v>
      </c>
      <c r="G110" s="184">
        <f>G106+G105</f>
        <v>6445</v>
      </c>
      <c r="N110" s="176"/>
    </row>
    <row r="111" spans="1:14" ht="16.5" thickBot="1" x14ac:dyDescent="0.45">
      <c r="A111" s="183" t="s">
        <v>308</v>
      </c>
      <c r="B111" s="184">
        <f>(B109+B110)*0.1</f>
        <v>1274.8000000000002</v>
      </c>
      <c r="C111" s="85" t="s">
        <v>318</v>
      </c>
      <c r="F111" s="183" t="s">
        <v>308</v>
      </c>
      <c r="G111" s="184">
        <f>(G109+G110)*0.09</f>
        <v>1051.29</v>
      </c>
      <c r="N111" s="176"/>
    </row>
    <row r="112" spans="1:14" x14ac:dyDescent="0.35">
      <c r="N112" s="176"/>
    </row>
    <row r="113" spans="1:14" ht="16" x14ac:dyDescent="0.4">
      <c r="A113" s="277" t="s">
        <v>313</v>
      </c>
      <c r="B113" s="277"/>
      <c r="C113" s="277"/>
      <c r="N113" s="176"/>
    </row>
    <row r="114" spans="1:14" ht="16" x14ac:dyDescent="0.4">
      <c r="A114" s="181" t="s">
        <v>294</v>
      </c>
      <c r="B114" s="12">
        <f>C114*2</f>
        <v>5236</v>
      </c>
      <c r="C114" s="12">
        <f>B89*14</f>
        <v>2618</v>
      </c>
      <c r="G114" s="278" t="s">
        <v>314</v>
      </c>
      <c r="H114" s="279"/>
      <c r="I114" s="279"/>
      <c r="J114" s="280"/>
      <c r="N114" s="176"/>
    </row>
    <row r="115" spans="1:14" ht="16" x14ac:dyDescent="0.4">
      <c r="A115" s="181" t="s">
        <v>296</v>
      </c>
      <c r="B115" s="12">
        <f>C115*2</f>
        <v>0</v>
      </c>
      <c r="C115" s="12"/>
      <c r="G115" s="192">
        <v>7.4999999999999997E-2</v>
      </c>
      <c r="H115" s="187">
        <v>0.15</v>
      </c>
      <c r="I115" s="192">
        <v>0.22500000000000001</v>
      </c>
      <c r="J115" s="187">
        <v>0.3</v>
      </c>
      <c r="N115" s="176"/>
    </row>
    <row r="116" spans="1:14" ht="16" x14ac:dyDescent="0.4">
      <c r="A116" s="181" t="s">
        <v>298</v>
      </c>
      <c r="B116" s="12">
        <f>C116*2</f>
        <v>5440</v>
      </c>
      <c r="C116" s="12">
        <v>2720</v>
      </c>
      <c r="G116" s="188">
        <f>$C$89*G115</f>
        <v>196.35</v>
      </c>
      <c r="H116" s="188">
        <f>$C$89*H115</f>
        <v>392.7</v>
      </c>
      <c r="I116" s="188">
        <f>$C$89*I115</f>
        <v>589.05000000000007</v>
      </c>
      <c r="J116" s="188">
        <f>$C$89*J115</f>
        <v>785.4</v>
      </c>
      <c r="N116" s="176"/>
    </row>
    <row r="117" spans="1:14" ht="16" x14ac:dyDescent="0.4">
      <c r="A117" s="181" t="s">
        <v>289</v>
      </c>
      <c r="B117" s="12">
        <f>IF(A117="Giro",C114,0)</f>
        <v>0</v>
      </c>
      <c r="C117" s="12"/>
      <c r="N117" s="176"/>
    </row>
    <row r="118" spans="1:14" x14ac:dyDescent="0.35">
      <c r="N118" s="176"/>
    </row>
    <row r="119" spans="1:14" ht="15" thickBot="1" x14ac:dyDescent="0.4">
      <c r="N119" s="176"/>
    </row>
    <row r="120" spans="1:14" ht="16.5" thickBot="1" x14ac:dyDescent="0.45">
      <c r="A120" s="183" t="s">
        <v>303</v>
      </c>
      <c r="B120" s="184">
        <f>B114+B117</f>
        <v>5236</v>
      </c>
      <c r="C120" s="185" t="s">
        <v>304</v>
      </c>
      <c r="N120" s="176"/>
    </row>
    <row r="121" spans="1:14" ht="16.5" thickBot="1" x14ac:dyDescent="0.45">
      <c r="A121" s="183" t="s">
        <v>306</v>
      </c>
      <c r="B121" s="184">
        <f>B115+B116</f>
        <v>5440</v>
      </c>
      <c r="N121" s="176"/>
    </row>
    <row r="122" spans="1:14" ht="16.5" thickBot="1" x14ac:dyDescent="0.45">
      <c r="A122" s="183" t="s">
        <v>308</v>
      </c>
      <c r="B122" s="184">
        <f>(B120+B121)*0.1</f>
        <v>1067.6000000000001</v>
      </c>
      <c r="N122" s="176"/>
    </row>
    <row r="123" spans="1:14" x14ac:dyDescent="0.35">
      <c r="N123" s="176"/>
    </row>
    <row r="124" spans="1:14" x14ac:dyDescent="0.35">
      <c r="A124" s="176"/>
      <c r="B124" s="176"/>
      <c r="C124" s="176"/>
      <c r="D124" s="176"/>
      <c r="E124" s="176"/>
      <c r="F124" s="176"/>
      <c r="G124" s="176"/>
      <c r="H124" s="176"/>
      <c r="I124" s="176"/>
      <c r="J124" s="176"/>
      <c r="K124" s="176"/>
      <c r="L124" s="176"/>
      <c r="M124" s="176"/>
      <c r="N124" s="176"/>
    </row>
    <row r="125" spans="1:14" x14ac:dyDescent="0.35">
      <c r="A125" s="176"/>
      <c r="B125" s="176"/>
      <c r="C125" s="176"/>
      <c r="D125" s="176"/>
      <c r="E125" s="176"/>
      <c r="F125" s="176"/>
      <c r="G125" s="176"/>
      <c r="H125" s="176"/>
      <c r="I125" s="176"/>
      <c r="J125" s="176"/>
      <c r="K125" s="176"/>
      <c r="L125" s="176"/>
      <c r="M125" s="176"/>
      <c r="N125" s="176"/>
    </row>
  </sheetData>
  <sortState xmlns:xlrd2="http://schemas.microsoft.com/office/spreadsheetml/2017/richdata2" ref="T4:T12">
    <sortCondition ref="T4:T12"/>
  </sortState>
  <mergeCells count="31">
    <mergeCell ref="J80:J81"/>
    <mergeCell ref="G80:H81"/>
    <mergeCell ref="K103:M104"/>
    <mergeCell ref="A113:C113"/>
    <mergeCell ref="G114:J114"/>
    <mergeCell ref="E87:H87"/>
    <mergeCell ref="A91:C91"/>
    <mergeCell ref="F91:H91"/>
    <mergeCell ref="A102:C102"/>
    <mergeCell ref="F103:H103"/>
    <mergeCell ref="G43:I43"/>
    <mergeCell ref="E54:H54"/>
    <mergeCell ref="E76:F76"/>
    <mergeCell ref="E80:E81"/>
    <mergeCell ref="B80:C81"/>
    <mergeCell ref="E25:H25"/>
    <mergeCell ref="E3:H3"/>
    <mergeCell ref="E60:H60"/>
    <mergeCell ref="J43:L43"/>
    <mergeCell ref="L72:L73"/>
    <mergeCell ref="A63:J65"/>
    <mergeCell ref="K64:K65"/>
    <mergeCell ref="A69:B70"/>
    <mergeCell ref="F69:G70"/>
    <mergeCell ref="E67:F67"/>
    <mergeCell ref="D69:D70"/>
    <mergeCell ref="I69:I70"/>
    <mergeCell ref="I72:J73"/>
    <mergeCell ref="A43:C43"/>
    <mergeCell ref="E53:H53"/>
    <mergeCell ref="D43:F43"/>
  </mergeCells>
  <dataValidations count="1">
    <dataValidation type="list" allowBlank="1" showInputMessage="1" showErrorMessage="1" sqref="A95 A117 A106 F107 F95" xr:uid="{812A53A1-7C7A-4832-B0F1-58E3B30A1481}">
      <formula1>$P$90:$P$91</formula1>
    </dataValidation>
  </dataValidation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Upriver</vt:lpstr>
      <vt:lpstr>Ajustada</vt:lpstr>
      <vt:lpstr>Financiero</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cp:lastPrinted>2025-03-08T16:45:33Z</cp:lastPrinted>
  <dcterms:created xsi:type="dcterms:W3CDTF">2024-06-25T20:53:40Z</dcterms:created>
  <dcterms:modified xsi:type="dcterms:W3CDTF">2026-03-03T13:13:23Z</dcterms:modified>
</cp:coreProperties>
</file>