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saagents-my.sharepoint.com/personal/acarpani_isa-agents_com_ar/Documents/Escritorio/"/>
    </mc:Choice>
  </mc:AlternateContent>
  <xr:revisionPtr revIDLastSave="67" documentId="8_{7C09FD81-03C6-4515-82D6-61576809E5A9}" xr6:coauthVersionLast="47" xr6:coauthVersionMax="47" xr10:uidLastSave="{344F048E-A385-47D7-A940-409B00D8B763}"/>
  <bookViews>
    <workbookView xWindow="-110" yWindow="-110" windowWidth="19420" windowHeight="11500" tabRatio="589" firstSheet="8" activeTab="9" xr2:uid="{00000000-000D-0000-FFFF-FFFF00000000}"/>
  </bookViews>
  <sheets>
    <sheet name="May" sheetId="14" r:id="rId1"/>
    <sheet name="June" sheetId="15" r:id="rId2"/>
    <sheet name="July" sheetId="16" r:id="rId3"/>
    <sheet name="August" sheetId="17" r:id="rId4"/>
    <sheet name="September" sheetId="18" r:id="rId5"/>
    <sheet name="October" sheetId="19" r:id="rId6"/>
    <sheet name="November" sheetId="22" r:id="rId7"/>
    <sheet name="December" sheetId="24" r:id="rId8"/>
    <sheet name="Summary Revision" sheetId="12" r:id="rId9"/>
    <sheet name="January 2026" sheetId="25" r:id="rId10"/>
    <sheet name="February 2026" sheetId="26" r:id="rId11"/>
    <sheet name="March 2026" sheetId="27" r:id="rId12"/>
    <sheet name="April 2026" sheetId="28" r:id="rId13"/>
  </sheets>
  <definedNames>
    <definedName name="_xlnm._FilterDatabase" localSheetId="12" hidden="1">'April 2026'!$A$4:$Q$15</definedName>
    <definedName name="_xlnm._FilterDatabase" localSheetId="3" hidden="1">August!$A$4:$Q$18</definedName>
    <definedName name="_xlnm._FilterDatabase" localSheetId="7" hidden="1">December!$A$4:$Q$15</definedName>
    <definedName name="_xlnm._FilterDatabase" localSheetId="10" hidden="1">'February 2026'!$A$4:$Q$15</definedName>
    <definedName name="_xlnm._FilterDatabase" localSheetId="9" hidden="1">'January 2026'!$A$4:$Q$15</definedName>
    <definedName name="_xlnm._FilterDatabase" localSheetId="2" hidden="1">July!$A$4:$Q$19</definedName>
    <definedName name="_xlnm._FilterDatabase" localSheetId="1" hidden="1">June!$A$4:$Q$19</definedName>
    <definedName name="_xlnm._FilterDatabase" localSheetId="11" hidden="1">'March 2026'!$A$4:$Q$15</definedName>
    <definedName name="_xlnm._FilterDatabase" localSheetId="0" hidden="1">May!$A$4:$P$19</definedName>
    <definedName name="_xlnm._FilterDatabase" localSheetId="6" hidden="1">November!$A$4:$Q$16</definedName>
    <definedName name="_xlnm._FilterDatabase" localSheetId="5" hidden="1">October!$A$4:$Q$12</definedName>
    <definedName name="_xlnm._FilterDatabase" localSheetId="4" hidden="1">September!$A$4:$Q$19</definedName>
    <definedName name="_xlnm._FilterDatabase" localSheetId="8" hidden="1">'Summary Revision'!$A$4:$P$54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27" l="1"/>
  <c r="D11" i="27"/>
  <c r="D9" i="28"/>
  <c r="G9" i="27"/>
  <c r="D8" i="27" l="1"/>
  <c r="G8" i="27"/>
  <c r="G7" i="27" l="1"/>
  <c r="D7" i="27"/>
  <c r="G6" i="27" l="1"/>
  <c r="G5" i="27" l="1"/>
  <c r="D10" i="27"/>
  <c r="D6" i="26" l="1"/>
  <c r="G6" i="25" l="1"/>
  <c r="G5" i="25" l="1"/>
  <c r="D5" i="25" l="1"/>
  <c r="L15" i="28"/>
  <c r="K15" i="28"/>
  <c r="J15" i="28"/>
  <c r="I15" i="28"/>
  <c r="H15" i="28"/>
  <c r="G15" i="28"/>
  <c r="F15" i="28"/>
  <c r="E15" i="28"/>
  <c r="D15" i="28"/>
  <c r="L15" i="27"/>
  <c r="K15" i="27"/>
  <c r="J15" i="27"/>
  <c r="I15" i="27"/>
  <c r="H15" i="27"/>
  <c r="G15" i="27"/>
  <c r="F15" i="27"/>
  <c r="E15" i="27"/>
  <c r="D15" i="27"/>
  <c r="L15" i="26"/>
  <c r="J15" i="26"/>
  <c r="H15" i="26"/>
  <c r="F15" i="26"/>
  <c r="E15" i="26"/>
  <c r="D15" i="26"/>
  <c r="K15" i="26" l="1"/>
  <c r="I15" i="26"/>
  <c r="G15" i="26"/>
  <c r="D47" i="12"/>
  <c r="G8" i="24"/>
  <c r="G5" i="24" l="1"/>
  <c r="G7" i="25"/>
  <c r="I7" i="25"/>
  <c r="K7" i="25" s="1"/>
  <c r="K11" i="24" l="1"/>
  <c r="I11" i="24"/>
  <c r="D10" i="24" l="1"/>
  <c r="L15" i="25" l="1"/>
  <c r="H15" i="25"/>
  <c r="D15" i="25"/>
  <c r="G43" i="12"/>
  <c r="I43" i="12" s="1"/>
  <c r="K43" i="12" s="1"/>
  <c r="M43" i="12" s="1"/>
  <c r="D43" i="12"/>
  <c r="K12" i="22"/>
  <c r="I12" i="22"/>
  <c r="M48" i="12"/>
  <c r="M46" i="12"/>
  <c r="M45" i="12"/>
  <c r="M44" i="12"/>
  <c r="I49" i="12"/>
  <c r="J49" i="12" s="1"/>
  <c r="F49" i="12"/>
  <c r="E49" i="12"/>
  <c r="G48" i="12"/>
  <c r="I48" i="12" s="1"/>
  <c r="K48" i="12" s="1"/>
  <c r="I47" i="12"/>
  <c r="J47" i="12" s="1"/>
  <c r="M47" i="12" s="1"/>
  <c r="I46" i="12"/>
  <c r="J46" i="12" s="1"/>
  <c r="F46" i="12"/>
  <c r="E46" i="12"/>
  <c r="D46" i="12"/>
  <c r="G45" i="12"/>
  <c r="I45" i="12" s="1"/>
  <c r="K45" i="12" s="1"/>
  <c r="G44" i="12"/>
  <c r="I44" i="12" s="1"/>
  <c r="J44" i="12" s="1"/>
  <c r="F44" i="12"/>
  <c r="E44" i="12"/>
  <c r="D44" i="12"/>
  <c r="M42" i="12"/>
  <c r="H42" i="12"/>
  <c r="G42" i="12"/>
  <c r="I42" i="12" s="1"/>
  <c r="J42" i="12" s="1"/>
  <c r="F42" i="12"/>
  <c r="E42" i="12"/>
  <c r="L41" i="12"/>
  <c r="G41" i="12"/>
  <c r="I41" i="12" s="1"/>
  <c r="K41" i="12" s="1"/>
  <c r="D41" i="12"/>
  <c r="G40" i="12"/>
  <c r="I40" i="12" s="1"/>
  <c r="F40" i="12"/>
  <c r="E40" i="12"/>
  <c r="G39" i="12"/>
  <c r="I39" i="12" s="1"/>
  <c r="K39" i="12" s="1"/>
  <c r="G38" i="12"/>
  <c r="H38" i="12" s="1"/>
  <c r="F38" i="12"/>
  <c r="E38" i="12"/>
  <c r="I37" i="12"/>
  <c r="K37" i="12" s="1"/>
  <c r="G37" i="12"/>
  <c r="I36" i="12"/>
  <c r="J36" i="12" s="1"/>
  <c r="H36" i="12"/>
  <c r="G36" i="12"/>
  <c r="F36" i="12"/>
  <c r="E36" i="12"/>
  <c r="I32" i="12"/>
  <c r="H32" i="12"/>
  <c r="F32" i="12"/>
  <c r="E32" i="12"/>
  <c r="D31" i="12"/>
  <c r="I31" i="12" s="1"/>
  <c r="M53" i="12"/>
  <c r="L54" i="12"/>
  <c r="I7" i="24"/>
  <c r="J7" i="24" s="1"/>
  <c r="I10" i="24"/>
  <c r="J10" i="24" s="1"/>
  <c r="I6" i="24"/>
  <c r="J6" i="24" s="1"/>
  <c r="I9" i="24"/>
  <c r="J9" i="24" s="1"/>
  <c r="F7" i="24"/>
  <c r="E7" i="24"/>
  <c r="F10" i="24"/>
  <c r="E10" i="24"/>
  <c r="F6" i="24"/>
  <c r="E6" i="24"/>
  <c r="F9" i="24"/>
  <c r="E9" i="24"/>
  <c r="I8" i="24"/>
  <c r="K8" i="24" s="1"/>
  <c r="I5" i="24"/>
  <c r="K5" i="24" s="1"/>
  <c r="J11" i="22"/>
  <c r="J5" i="22"/>
  <c r="G8" i="18"/>
  <c r="K15" i="25" l="1"/>
  <c r="G15" i="25"/>
  <c r="E15" i="25"/>
  <c r="F15" i="25"/>
  <c r="E47" i="12"/>
  <c r="F47" i="12"/>
  <c r="H40" i="12"/>
  <c r="I38" i="12"/>
  <c r="E31" i="12"/>
  <c r="F31" i="12"/>
  <c r="G12" i="22"/>
  <c r="D12" i="22"/>
  <c r="J15" i="25" l="1"/>
  <c r="I15" i="25"/>
  <c r="D6" i="24" l="1"/>
  <c r="G9" i="24" l="1"/>
  <c r="D9" i="24"/>
  <c r="G6" i="22" l="1"/>
  <c r="L10" i="22" l="1"/>
  <c r="G10" i="22"/>
  <c r="G11" i="22" l="1"/>
  <c r="G9" i="22" l="1"/>
  <c r="G5" i="22" l="1"/>
  <c r="G8" i="22" l="1"/>
  <c r="L15" i="24" l="1"/>
  <c r="J15" i="24"/>
  <c r="F15" i="24"/>
  <c r="E15" i="24"/>
  <c r="D15" i="24"/>
  <c r="G15" i="24"/>
  <c r="M41" i="12"/>
  <c r="M38" i="12"/>
  <c r="M37" i="12"/>
  <c r="M36" i="12"/>
  <c r="M33" i="12"/>
  <c r="M32" i="12"/>
  <c r="M31" i="12"/>
  <c r="M30" i="12"/>
  <c r="M28" i="12"/>
  <c r="M26" i="12"/>
  <c r="M24" i="12"/>
  <c r="M23" i="12"/>
  <c r="M22" i="12"/>
  <c r="M20" i="12"/>
  <c r="M19" i="12"/>
  <c r="M17" i="12"/>
  <c r="M15" i="12"/>
  <c r="M13" i="12"/>
  <c r="M11" i="12"/>
  <c r="M8" i="12"/>
  <c r="M7" i="12"/>
  <c r="H5" i="12"/>
  <c r="D5" i="12"/>
  <c r="I5" i="12" s="1"/>
  <c r="L16" i="22"/>
  <c r="L12" i="19"/>
  <c r="L19" i="18"/>
  <c r="L18" i="17"/>
  <c r="L19" i="16"/>
  <c r="L19" i="15"/>
  <c r="L19" i="14"/>
  <c r="K5" i="12" l="1"/>
  <c r="H15" i="24"/>
  <c r="M5" i="12"/>
  <c r="I10" i="12"/>
  <c r="K10" i="12" s="1"/>
  <c r="M10" i="12" s="1"/>
  <c r="I12" i="12"/>
  <c r="K12" i="12" s="1"/>
  <c r="M12" i="12" s="1"/>
  <c r="I21" i="12"/>
  <c r="K21" i="12" s="1"/>
  <c r="I5" i="19"/>
  <c r="I9" i="18"/>
  <c r="I30" i="12"/>
  <c r="M40" i="12"/>
  <c r="M39" i="12"/>
  <c r="G35" i="12"/>
  <c r="I35" i="12" s="1"/>
  <c r="K35" i="12" s="1"/>
  <c r="M35" i="12" s="1"/>
  <c r="G34" i="12"/>
  <c r="I34" i="12" s="1"/>
  <c r="K34" i="12" s="1"/>
  <c r="M34" i="12" s="1"/>
  <c r="G33" i="12"/>
  <c r="I33" i="12" s="1"/>
  <c r="F33" i="12"/>
  <c r="E33" i="12"/>
  <c r="H30" i="12"/>
  <c r="F30" i="12"/>
  <c r="E30" i="12"/>
  <c r="G29" i="12"/>
  <c r="I29" i="12" s="1"/>
  <c r="K29" i="12" s="1"/>
  <c r="M29" i="12" s="1"/>
  <c r="G28" i="12"/>
  <c r="D28" i="12"/>
  <c r="E28" i="12" s="1"/>
  <c r="G27" i="12"/>
  <c r="I27" i="12" s="1"/>
  <c r="K27" i="12" s="1"/>
  <c r="M27" i="12" s="1"/>
  <c r="D26" i="12"/>
  <c r="I26" i="12" s="1"/>
  <c r="H25" i="12"/>
  <c r="D25" i="12"/>
  <c r="I25" i="12" s="1"/>
  <c r="G24" i="12"/>
  <c r="D24" i="12"/>
  <c r="G23" i="12"/>
  <c r="H23" i="12" s="1"/>
  <c r="G22" i="12"/>
  <c r="I22" i="12" s="1"/>
  <c r="H21" i="12"/>
  <c r="G20" i="12"/>
  <c r="D20" i="12"/>
  <c r="F20" i="12" s="1"/>
  <c r="G19" i="12"/>
  <c r="H19" i="12" s="1"/>
  <c r="D19" i="12"/>
  <c r="H18" i="12"/>
  <c r="D18" i="12"/>
  <c r="I18" i="12" s="1"/>
  <c r="I17" i="12"/>
  <c r="H17" i="12"/>
  <c r="G16" i="12"/>
  <c r="I16" i="12" s="1"/>
  <c r="K16" i="12" s="1"/>
  <c r="M16" i="12" s="1"/>
  <c r="G15" i="12"/>
  <c r="I15" i="12" s="1"/>
  <c r="I14" i="12"/>
  <c r="H14" i="12"/>
  <c r="F14" i="12"/>
  <c r="E14" i="12" s="1"/>
  <c r="I13" i="12"/>
  <c r="H13" i="12"/>
  <c r="H12" i="12"/>
  <c r="G11" i="12"/>
  <c r="I11" i="12" s="1"/>
  <c r="H10" i="12"/>
  <c r="I9" i="12"/>
  <c r="J9" i="12" s="1"/>
  <c r="M9" i="12" s="1"/>
  <c r="H9" i="12"/>
  <c r="G8" i="12"/>
  <c r="I8" i="12" s="1"/>
  <c r="I7" i="12"/>
  <c r="H7" i="12"/>
  <c r="G6" i="12"/>
  <c r="D6" i="12"/>
  <c r="F5" i="22"/>
  <c r="E5" i="22"/>
  <c r="F9" i="22"/>
  <c r="E9" i="22"/>
  <c r="F11" i="22"/>
  <c r="E11" i="22"/>
  <c r="F7" i="22"/>
  <c r="E7" i="22"/>
  <c r="I7" i="17"/>
  <c r="F5" i="19"/>
  <c r="E5" i="19"/>
  <c r="F6" i="19"/>
  <c r="E6" i="19"/>
  <c r="H5" i="19"/>
  <c r="F9" i="18"/>
  <c r="E9" i="18"/>
  <c r="H9" i="18"/>
  <c r="F6" i="12" l="1"/>
  <c r="D54" i="12"/>
  <c r="G54" i="12"/>
  <c r="I15" i="24"/>
  <c r="K15" i="24"/>
  <c r="J25" i="12"/>
  <c r="K25" i="12"/>
  <c r="K54" i="12" s="1"/>
  <c r="J21" i="12"/>
  <c r="M21" i="12" s="1"/>
  <c r="H33" i="12"/>
  <c r="F28" i="12"/>
  <c r="I24" i="12"/>
  <c r="H15" i="12"/>
  <c r="I28" i="12"/>
  <c r="I20" i="12"/>
  <c r="F26" i="12"/>
  <c r="H28" i="12"/>
  <c r="I19" i="12"/>
  <c r="H22" i="12"/>
  <c r="I23" i="12"/>
  <c r="H20" i="12"/>
  <c r="H24" i="12"/>
  <c r="H16" i="12"/>
  <c r="J18" i="12"/>
  <c r="M18" i="12" s="1"/>
  <c r="E20" i="12"/>
  <c r="H11" i="12"/>
  <c r="J14" i="12"/>
  <c r="M14" i="12" s="1"/>
  <c r="I6" i="12"/>
  <c r="E6" i="12"/>
  <c r="H6" i="12"/>
  <c r="H8" i="12"/>
  <c r="E16" i="22"/>
  <c r="F16" i="22"/>
  <c r="G7" i="22"/>
  <c r="I6" i="22"/>
  <c r="K6" i="22" s="1"/>
  <c r="I10" i="22"/>
  <c r="K10" i="22" s="1"/>
  <c r="D10" i="22"/>
  <c r="D16" i="22" s="1"/>
  <c r="I8" i="22"/>
  <c r="K8" i="22" s="1"/>
  <c r="G7" i="19"/>
  <c r="I7" i="19" s="1"/>
  <c r="K7" i="19" s="1"/>
  <c r="H54" i="12" l="1"/>
  <c r="E54" i="12"/>
  <c r="I54" i="12"/>
  <c r="F54" i="12"/>
  <c r="M25" i="12"/>
  <c r="J6" i="12"/>
  <c r="J54" i="12" s="1"/>
  <c r="H7" i="22"/>
  <c r="I7" i="22"/>
  <c r="H5" i="22"/>
  <c r="I5" i="22"/>
  <c r="H11" i="22"/>
  <c r="I11" i="22"/>
  <c r="H9" i="22"/>
  <c r="I9" i="22"/>
  <c r="G16" i="22"/>
  <c r="K16" i="22"/>
  <c r="G6" i="19"/>
  <c r="M6" i="12" l="1"/>
  <c r="M54" i="12" s="1"/>
  <c r="I16" i="22"/>
  <c r="H16" i="22"/>
  <c r="I6" i="19"/>
  <c r="I12" i="19" s="1"/>
  <c r="H6" i="19"/>
  <c r="J16" i="22"/>
  <c r="E12" i="19"/>
  <c r="D12" i="19"/>
  <c r="F12" i="19"/>
  <c r="G14" i="17"/>
  <c r="H12" i="19" l="1"/>
  <c r="G12" i="19"/>
  <c r="K12" i="19"/>
  <c r="G13" i="17"/>
  <c r="I13" i="17" s="1"/>
  <c r="J12" i="19" l="1"/>
  <c r="G12" i="17"/>
  <c r="I12" i="17" s="1"/>
  <c r="G10" i="17" l="1"/>
  <c r="G9" i="17" l="1"/>
  <c r="G6" i="17" l="1"/>
  <c r="G5" i="17" l="1"/>
  <c r="I5" i="17" s="1"/>
  <c r="I6" i="18" l="1"/>
  <c r="K6" i="18" s="1"/>
  <c r="H7" i="18" l="1"/>
  <c r="I8" i="18"/>
  <c r="K8" i="18" s="1"/>
  <c r="D7" i="18" l="1"/>
  <c r="F7" i="18" l="1"/>
  <c r="E7" i="18"/>
  <c r="I7" i="18"/>
  <c r="D10" i="18"/>
  <c r="F10" i="18" l="1"/>
  <c r="I10" i="18"/>
  <c r="E10" i="18"/>
  <c r="D5" i="18"/>
  <c r="G19" i="18"/>
  <c r="E19" i="18"/>
  <c r="I6" i="16"/>
  <c r="K6" i="16" s="1"/>
  <c r="D19" i="18" l="1"/>
  <c r="I5" i="18"/>
  <c r="F5" i="18"/>
  <c r="F19" i="18" s="1"/>
  <c r="H19" i="18"/>
  <c r="J19" i="18"/>
  <c r="D10" i="17"/>
  <c r="K19" i="18" l="1"/>
  <c r="I19" i="18"/>
  <c r="D8" i="17"/>
  <c r="I8" i="17" s="1"/>
  <c r="J8" i="17" s="1"/>
  <c r="D9" i="17" l="1"/>
  <c r="I9" i="17" s="1"/>
  <c r="D14" i="17" l="1"/>
  <c r="I14" i="17" s="1"/>
  <c r="D15" i="17" l="1"/>
  <c r="D18" i="17" s="1"/>
  <c r="I15" i="17" l="1"/>
  <c r="K15" i="17" s="1"/>
  <c r="H15" i="17"/>
  <c r="H14" i="17"/>
  <c r="H13" i="17"/>
  <c r="H12" i="17"/>
  <c r="I11" i="17"/>
  <c r="K11" i="17" s="1"/>
  <c r="H11" i="17"/>
  <c r="I10" i="17"/>
  <c r="H10" i="17"/>
  <c r="F10" i="17"/>
  <c r="H9" i="17"/>
  <c r="H8" i="17"/>
  <c r="I6" i="17"/>
  <c r="K6" i="17" s="1"/>
  <c r="H6" i="17"/>
  <c r="H5" i="17"/>
  <c r="G7" i="16"/>
  <c r="I7" i="16" s="1"/>
  <c r="I6" i="15"/>
  <c r="I10" i="16"/>
  <c r="H10" i="16"/>
  <c r="F10" i="16"/>
  <c r="E10" i="16" s="1"/>
  <c r="I9" i="16"/>
  <c r="H9" i="16"/>
  <c r="I8" i="16"/>
  <c r="K8" i="16" s="1"/>
  <c r="H8" i="16"/>
  <c r="H6" i="16"/>
  <c r="I5" i="16"/>
  <c r="H5" i="16"/>
  <c r="G7" i="15"/>
  <c r="I7" i="15" s="1"/>
  <c r="H6" i="15"/>
  <c r="G5" i="15"/>
  <c r="I5" i="15" s="1"/>
  <c r="D5" i="15"/>
  <c r="H5" i="14"/>
  <c r="D5" i="14"/>
  <c r="I5" i="14" s="1"/>
  <c r="K5" i="14" s="1"/>
  <c r="J11" i="17" l="1"/>
  <c r="F18" i="17"/>
  <c r="E10" i="17"/>
  <c r="E18" i="17" s="1"/>
  <c r="I18" i="17"/>
  <c r="G18" i="17"/>
  <c r="H7" i="17"/>
  <c r="H18" i="17" s="1"/>
  <c r="J15" i="17"/>
  <c r="H7" i="16"/>
  <c r="J5" i="16"/>
  <c r="K5" i="16" s="1"/>
  <c r="J10" i="16"/>
  <c r="J5" i="15"/>
  <c r="F5" i="15"/>
  <c r="E5" i="15" s="1"/>
  <c r="E19" i="15" s="1"/>
  <c r="H5" i="15"/>
  <c r="H7" i="15"/>
  <c r="E19" i="16"/>
  <c r="G19" i="16"/>
  <c r="G19" i="15"/>
  <c r="E19" i="14"/>
  <c r="G19" i="14"/>
  <c r="D19" i="14"/>
  <c r="I19" i="14" l="1"/>
  <c r="J18" i="17"/>
  <c r="K18" i="17"/>
  <c r="D19" i="15"/>
  <c r="D19" i="16"/>
  <c r="F19" i="16"/>
  <c r="H19" i="16"/>
  <c r="K19" i="16"/>
  <c r="F19" i="15"/>
  <c r="H19" i="15"/>
  <c r="I19" i="15"/>
  <c r="H19" i="14"/>
  <c r="F19" i="14"/>
  <c r="J19" i="15" l="1"/>
  <c r="J19" i="16"/>
  <c r="I19" i="16"/>
  <c r="K19" i="15"/>
  <c r="K19" i="14"/>
  <c r="J19" i="14"/>
</calcChain>
</file>

<file path=xl/sharedStrings.xml><?xml version="1.0" encoding="utf-8"?>
<sst xmlns="http://schemas.openxmlformats.org/spreadsheetml/2006/main" count="376" uniqueCount="85">
  <si>
    <t xml:space="preserve"> </t>
  </si>
  <si>
    <t>ADM Vessels</t>
  </si>
  <si>
    <t>#</t>
  </si>
  <si>
    <t>Vessel</t>
  </si>
  <si>
    <t>Sailed</t>
  </si>
  <si>
    <t>Total agency Fee</t>
  </si>
  <si>
    <t>Vendors Discounts</t>
  </si>
  <si>
    <t>Total Profit Sharing</t>
  </si>
  <si>
    <t>Cargo</t>
  </si>
  <si>
    <t>Loading Port</t>
  </si>
  <si>
    <t>Loading Berth</t>
  </si>
  <si>
    <t>Destination</t>
  </si>
  <si>
    <t>Sub - Total</t>
  </si>
  <si>
    <t>ADM %</t>
  </si>
  <si>
    <t>ADM%</t>
  </si>
  <si>
    <t>ISA agency fee</t>
  </si>
  <si>
    <t>MARINA I</t>
  </si>
  <si>
    <t>LYRA M</t>
  </si>
  <si>
    <t>INTERLINK SOLIDITY</t>
  </si>
  <si>
    <t>AFRICAN GANNET</t>
  </si>
  <si>
    <t>VITA FUTURE</t>
  </si>
  <si>
    <t>AVAX (TC)</t>
  </si>
  <si>
    <t>MAINA (TC)</t>
  </si>
  <si>
    <t>MAI TAI (TC)</t>
  </si>
  <si>
    <t>UNITY MOON (owner appointed OPA)</t>
  </si>
  <si>
    <t>NAVIOS CELESTIAL</t>
  </si>
  <si>
    <t>DIAMOND SKY</t>
  </si>
  <si>
    <t>ECO SIKOUSIS</t>
  </si>
  <si>
    <t>EKATERINI</t>
  </si>
  <si>
    <t>CANADIAN BULKER</t>
  </si>
  <si>
    <t>OCEAN INNOVATION</t>
  </si>
  <si>
    <t>WATER LILY (TC)</t>
  </si>
  <si>
    <t>OSSA</t>
  </si>
  <si>
    <t>UM MINATO</t>
  </si>
  <si>
    <t>KYRA ZAFIRA (TC operated in Uruguay only)</t>
  </si>
  <si>
    <t>RUTH (TC operated in Uruguay only)</t>
  </si>
  <si>
    <t>MARINA (TC) (holds husbandry only)</t>
  </si>
  <si>
    <t>VANNA</t>
  </si>
  <si>
    <t>URSA MINOR</t>
  </si>
  <si>
    <t>POMORZE (TC)</t>
  </si>
  <si>
    <t>GEMINI (TC)</t>
  </si>
  <si>
    <t>KYTHIRA</t>
  </si>
  <si>
    <t>SANTA IRINI (TC)</t>
  </si>
  <si>
    <t>FEDERAL ST. LAURENT</t>
  </si>
  <si>
    <t>PORTO DOLICHA</t>
  </si>
  <si>
    <t>BUNUN STAR</t>
  </si>
  <si>
    <t>EPIC RADIANCE</t>
  </si>
  <si>
    <t>MARVELOUS STAR (TC)</t>
  </si>
  <si>
    <t>CRYSTAL ADMIRER (TC)</t>
  </si>
  <si>
    <t>EXELIXSEA (TC)</t>
  </si>
  <si>
    <t>YOSAN</t>
  </si>
  <si>
    <t>ISABELA ISLAND (owner appointed OPA)</t>
  </si>
  <si>
    <t>BULK ITALY (owner appointed OPA)</t>
  </si>
  <si>
    <t>PS ADM 100% (through FDA)</t>
  </si>
  <si>
    <t>PS 50% ADM (via billing)</t>
  </si>
  <si>
    <t>Towage saving (net paid against official tariff)</t>
  </si>
  <si>
    <t>TOTAL ADM BENEFIT</t>
  </si>
  <si>
    <t>BULK VENUS</t>
  </si>
  <si>
    <t>BAM DESPINA (TC)</t>
  </si>
  <si>
    <t>DELFIN (TC)</t>
  </si>
  <si>
    <t>NORA SCHULTE (Charterers agents)</t>
  </si>
  <si>
    <t>MOUNT HOOD (Charterers agents)</t>
  </si>
  <si>
    <t>GOOD WISH (Charterers agents)</t>
  </si>
  <si>
    <t>DENIZ (Free DA VC)</t>
  </si>
  <si>
    <t>SEARIDER (TC) (Nueva Palmira)</t>
  </si>
  <si>
    <t>CENTURION JUKTAS</t>
  </si>
  <si>
    <t>MIGHTY STAR (TC)</t>
  </si>
  <si>
    <t>BERGE DAISETSU (Charterers agents)</t>
  </si>
  <si>
    <t>SPL ATACAMA</t>
  </si>
  <si>
    <t>AMALIA</t>
  </si>
  <si>
    <t>FRIEDRICH SCHULTE</t>
  </si>
  <si>
    <t>YI CHUN 15 (Charterers agents)</t>
  </si>
  <si>
    <t>CTS LYNUX HUMMER (Charterers agents)</t>
  </si>
  <si>
    <t>NORSE SUCCESSION</t>
  </si>
  <si>
    <t>ITAMOS</t>
  </si>
  <si>
    <t>ISE HARMONY (Charterers agents)</t>
  </si>
  <si>
    <t>GRACE</t>
  </si>
  <si>
    <t>STAR LUNA</t>
  </si>
  <si>
    <t>RED AZALEA (TC)</t>
  </si>
  <si>
    <t>NORSE GROWTH (Nueva Palmira)</t>
  </si>
  <si>
    <t>MDS ATHENA (Charterers agents)</t>
  </si>
  <si>
    <t>PISTI (TC)</t>
  </si>
  <si>
    <t>ISEACO GRACE (TC)</t>
  </si>
  <si>
    <t>HAOYUE (TC)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</si>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</sst>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[$-409]d\-mmm\-yy;@"/>
    <numFmt numFmtId="168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Border="0"/>
    <xf numFmtId="0" fontId="1" fillId="0" borderId="0">
      <alignment vertical="top"/>
    </xf>
    <xf numFmtId="0" fontId="4" fillId="0" borderId="0"/>
  </cellStyleXfs>
  <cellXfs count="51">
    <xf numFmtId="0" fontId="0" fillId="0" borderId="0" xfId="0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168" fontId="2" fillId="0" borderId="0" xfId="1" applyNumberFormat="1" applyFont="1"/>
    <xf numFmtId="17" fontId="5" fillId="0" borderId="0" xfId="0" applyNumberFormat="1" applyFont="1" applyAlignment="1">
      <alignment horizontal="center"/>
    </xf>
    <xf numFmtId="164" fontId="6" fillId="0" borderId="1" xfId="3" applyFont="1" applyBorder="1" applyAlignment="1">
      <alignment horizontal="center" vertical="center" wrapText="1"/>
    </xf>
    <xf numFmtId="164" fontId="6" fillId="4" borderId="1" xfId="3" applyFont="1" applyFill="1" applyBorder="1" applyAlignment="1">
      <alignment horizontal="center" vertical="center" wrapText="1"/>
    </xf>
    <xf numFmtId="168" fontId="0" fillId="0" borderId="0" xfId="1" applyNumberFormat="1" applyFont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64" fontId="6" fillId="5" borderId="1" xfId="3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0" borderId="0" xfId="0" applyFont="1"/>
    <xf numFmtId="167" fontId="8" fillId="5" borderId="1" xfId="0" applyNumberFormat="1" applyFont="1" applyFill="1" applyBorder="1" applyAlignment="1">
      <alignment horizontal="center" vertical="center" wrapText="1"/>
    </xf>
    <xf numFmtId="164" fontId="6" fillId="3" borderId="3" xfId="3" applyFont="1" applyFill="1" applyBorder="1"/>
    <xf numFmtId="164" fontId="8" fillId="5" borderId="1" xfId="3" applyFont="1" applyFill="1" applyBorder="1" applyAlignment="1">
      <alignment horizontal="left" vertical="center" wrapText="1"/>
    </xf>
    <xf numFmtId="164" fontId="8" fillId="0" borderId="1" xfId="3" applyFont="1" applyBorder="1" applyAlignment="1">
      <alignment horizontal="left" vertical="center" wrapText="1"/>
    </xf>
    <xf numFmtId="164" fontId="8" fillId="0" borderId="1" xfId="3" applyFont="1" applyBorder="1" applyAlignment="1">
      <alignment horizontal="left" vertical="center"/>
    </xf>
    <xf numFmtId="164" fontId="9" fillId="5" borderId="1" xfId="3" applyFont="1" applyFill="1" applyBorder="1" applyAlignment="1">
      <alignment horizontal="left" vertical="center" wrapText="1"/>
    </xf>
    <xf numFmtId="167" fontId="9" fillId="5" borderId="1" xfId="0" applyNumberFormat="1" applyFont="1" applyFill="1" applyBorder="1" applyAlignment="1">
      <alignment horizontal="center" vertical="center" wrapText="1"/>
    </xf>
    <xf numFmtId="164" fontId="10" fillId="4" borderId="1" xfId="3" applyFont="1" applyFill="1" applyBorder="1" applyAlignment="1">
      <alignment horizontal="center" vertical="center" wrapText="1"/>
    </xf>
    <xf numFmtId="164" fontId="10" fillId="5" borderId="1" xfId="3" applyFont="1" applyFill="1" applyBorder="1" applyAlignment="1">
      <alignment horizontal="center" vertical="center" wrapText="1"/>
    </xf>
    <xf numFmtId="164" fontId="9" fillId="0" borderId="1" xfId="3" applyFont="1" applyBorder="1" applyAlignment="1">
      <alignment horizontal="left" vertical="center" wrapText="1"/>
    </xf>
    <xf numFmtId="164" fontId="9" fillId="0" borderId="1" xfId="3" applyFont="1" applyBorder="1" applyAlignment="1">
      <alignment horizontal="left" vertical="center"/>
    </xf>
    <xf numFmtId="164" fontId="10" fillId="0" borderId="1" xfId="3" applyFont="1" applyFill="1" applyBorder="1" applyAlignment="1">
      <alignment horizontal="center" vertical="center" wrapText="1"/>
    </xf>
    <xf numFmtId="164" fontId="6" fillId="0" borderId="1" xfId="3" applyFont="1" applyFill="1" applyBorder="1" applyAlignment="1">
      <alignment horizontal="center" vertical="center" wrapText="1"/>
    </xf>
    <xf numFmtId="164" fontId="8" fillId="5" borderId="1" xfId="3" applyFont="1" applyFill="1" applyBorder="1" applyAlignment="1">
      <alignment horizontal="center" vertical="center" wrapText="1"/>
    </xf>
    <xf numFmtId="0" fontId="11" fillId="0" borderId="0" xfId="0" applyFont="1" applyAlignment="1">
      <alignment wrapText="1"/>
    </xf>
    <xf numFmtId="164" fontId="8" fillId="6" borderId="1" xfId="3" applyFont="1" applyFill="1" applyBorder="1" applyAlignment="1">
      <alignment horizontal="left" vertical="center" wrapText="1"/>
    </xf>
    <xf numFmtId="167" fontId="8" fillId="6" borderId="1" xfId="0" applyNumberFormat="1" applyFont="1" applyFill="1" applyBorder="1" applyAlignment="1">
      <alignment horizontal="center" vertical="center" wrapText="1"/>
    </xf>
    <xf numFmtId="164" fontId="6" fillId="6" borderId="1" xfId="3" applyFont="1" applyFill="1" applyBorder="1" applyAlignment="1">
      <alignment horizontal="center" vertical="center" wrapText="1"/>
    </xf>
    <xf numFmtId="164" fontId="9" fillId="6" borderId="1" xfId="3" applyFont="1" applyFill="1" applyBorder="1" applyAlignment="1">
      <alignment horizontal="left" vertical="center" wrapText="1"/>
    </xf>
    <xf numFmtId="167" fontId="9" fillId="6" borderId="1" xfId="0" applyNumberFormat="1" applyFont="1" applyFill="1" applyBorder="1" applyAlignment="1">
      <alignment horizontal="center" vertical="center" wrapText="1"/>
    </xf>
    <xf numFmtId="164" fontId="10" fillId="6" borderId="1" xfId="3" applyFont="1" applyFill="1" applyBorder="1" applyAlignment="1">
      <alignment horizontal="center" vertical="center" wrapText="1"/>
    </xf>
    <xf numFmtId="164" fontId="9" fillId="0" borderId="1" xfId="3" applyFont="1" applyFill="1" applyBorder="1" applyAlignment="1">
      <alignment horizontal="left" vertical="center" wrapText="1"/>
    </xf>
    <xf numFmtId="167" fontId="9" fillId="0" borderId="1" xfId="0" applyNumberFormat="1" applyFont="1" applyBorder="1" applyAlignment="1">
      <alignment horizontal="center" vertical="center" wrapText="1"/>
    </xf>
    <xf numFmtId="164" fontId="8" fillId="7" borderId="1" xfId="3" applyFont="1" applyFill="1" applyBorder="1" applyAlignment="1">
      <alignment horizontal="left" vertical="center" wrapText="1"/>
    </xf>
    <xf numFmtId="164" fontId="8" fillId="0" borderId="1" xfId="3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9" fillId="8" borderId="1" xfId="3" applyFont="1" applyFill="1" applyBorder="1" applyAlignment="1">
      <alignment horizontal="left" vertical="center" wrapText="1"/>
    </xf>
    <xf numFmtId="167" fontId="8" fillId="8" borderId="1" xfId="0" applyNumberFormat="1" applyFont="1" applyFill="1" applyBorder="1" applyAlignment="1">
      <alignment horizontal="center" vertical="center" wrapText="1"/>
    </xf>
    <xf numFmtId="164" fontId="10" fillId="8" borderId="1" xfId="3" applyFont="1" applyFill="1" applyBorder="1" applyAlignment="1">
      <alignment horizontal="center" vertical="center" wrapText="1"/>
    </xf>
    <xf numFmtId="164" fontId="6" fillId="8" borderId="1" xfId="3" applyFont="1" applyFill="1" applyBorder="1" applyAlignment="1">
      <alignment horizontal="center" vertical="center" wrapText="1"/>
    </xf>
  </cellXfs>
  <cellStyles count="7">
    <cellStyle name="Millares" xfId="1" builtinId="3"/>
    <cellStyle name="Millares 2" xfId="2" xr:uid="{00000000-0005-0000-0000-000001000000}"/>
    <cellStyle name="Moneda" xfId="3" builtinId="4"/>
    <cellStyle name="Normal" xfId="0" builtinId="0"/>
    <cellStyle name="Normal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1" defaultTableStyle="TableStyleMedium2" defaultPivotStyle="PivotStyleLight16">
    <tableStyle name="Invisible" pivot="0" table="0" count="0" xr9:uid="{662E0A8F-4554-4A94-8713-831EB7AA47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F1C8-A04C-45C5-B72D-680F53C3BAA7}">
  <sheetPr>
    <pageSetUpPr fitToPage="1"/>
  </sheetPr>
  <dimension ref="A2:P41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B5" sqref="B5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1.54296875" style="2" bestFit="1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2.54296875" bestFit="1" customWidth="1"/>
    <col min="14" max="14" width="15.1796875" bestFit="1" customWidth="1"/>
    <col min="15" max="15" width="28.1796875" bestFit="1" customWidth="1"/>
    <col min="16" max="16" width="17.453125" bestFit="1" customWidth="1"/>
  </cols>
  <sheetData>
    <row r="2" spans="1:16" x14ac:dyDescent="0.35">
      <c r="B2" s="3" t="s">
        <v>0</v>
      </c>
    </row>
    <row r="3" spans="1:16" ht="18.5" x14ac:dyDescent="0.45">
      <c r="B3" s="4" t="s">
        <v>1</v>
      </c>
      <c r="C3" s="7">
        <v>45444</v>
      </c>
      <c r="K3" s="1" t="s">
        <v>0</v>
      </c>
    </row>
    <row r="4" spans="1:16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 t="s">
        <v>8</v>
      </c>
      <c r="N4" s="15" t="s">
        <v>9</v>
      </c>
      <c r="O4" s="15" t="s">
        <v>10</v>
      </c>
      <c r="P4" s="15" t="s">
        <v>11</v>
      </c>
    </row>
    <row r="5" spans="1:16" s="17" customFormat="1" ht="15" customHeight="1" x14ac:dyDescent="0.35">
      <c r="A5" s="11">
        <v>1</v>
      </c>
      <c r="B5" s="36" t="s">
        <v>21</v>
      </c>
      <c r="C5" s="37">
        <v>45799</v>
      </c>
      <c r="D5" s="38">
        <f>2000+2000+1200</f>
        <v>5200</v>
      </c>
      <c r="E5" s="38">
        <v>5200</v>
      </c>
      <c r="F5" s="38"/>
      <c r="G5" s="38">
        <v>25042.989999999932</v>
      </c>
      <c r="H5" s="38">
        <f>G5*1</f>
        <v>25042.989999999932</v>
      </c>
      <c r="I5" s="38">
        <f>+D5-E5+G5</f>
        <v>25042.989999999932</v>
      </c>
      <c r="J5" s="38"/>
      <c r="K5" s="38">
        <f>+I5</f>
        <v>25042.989999999932</v>
      </c>
      <c r="L5" s="38">
        <v>28350</v>
      </c>
      <c r="M5" s="24"/>
      <c r="N5" s="24"/>
      <c r="O5" s="24"/>
      <c r="P5" s="24"/>
    </row>
    <row r="6" spans="1:16" s="17" customFormat="1" ht="15" customHeight="1" x14ac:dyDescent="0.35">
      <c r="A6" s="11">
        <v>2</v>
      </c>
      <c r="B6" s="23"/>
      <c r="C6" s="21"/>
      <c r="D6" s="8"/>
      <c r="E6" s="33"/>
      <c r="F6" s="33"/>
      <c r="G6" s="16"/>
      <c r="H6" s="16"/>
      <c r="I6" s="9"/>
      <c r="J6" s="9"/>
      <c r="K6" s="9"/>
      <c r="L6" s="9"/>
      <c r="M6" s="24"/>
      <c r="N6" s="24"/>
      <c r="O6" s="24"/>
      <c r="P6" s="24"/>
    </row>
    <row r="7" spans="1:16" s="17" customFormat="1" ht="15" customHeight="1" x14ac:dyDescent="0.35">
      <c r="A7" s="11">
        <v>3</v>
      </c>
      <c r="B7" s="23"/>
      <c r="C7" s="21"/>
      <c r="D7" s="8"/>
      <c r="E7" s="33"/>
      <c r="F7" s="33"/>
      <c r="G7" s="16"/>
      <c r="H7" s="16"/>
      <c r="I7" s="9"/>
      <c r="J7" s="9"/>
      <c r="K7" s="9"/>
      <c r="L7" s="9"/>
      <c r="M7" s="24"/>
      <c r="N7" s="24"/>
      <c r="O7" s="24"/>
      <c r="P7" s="24"/>
    </row>
    <row r="8" spans="1:16" s="17" customFormat="1" ht="15" customHeight="1" x14ac:dyDescent="0.35">
      <c r="A8" s="11">
        <v>4</v>
      </c>
      <c r="B8" s="23"/>
      <c r="C8" s="21"/>
      <c r="D8" s="8"/>
      <c r="E8" s="33"/>
      <c r="F8" s="33"/>
      <c r="G8" s="16"/>
      <c r="H8" s="16"/>
      <c r="I8" s="9"/>
      <c r="J8" s="9"/>
      <c r="K8" s="9"/>
      <c r="L8" s="9"/>
      <c r="M8" s="24"/>
      <c r="N8" s="24"/>
      <c r="O8" s="24"/>
      <c r="P8" s="24"/>
    </row>
    <row r="9" spans="1:16" s="17" customFormat="1" ht="15" customHeight="1" x14ac:dyDescent="0.35">
      <c r="A9" s="11">
        <v>5</v>
      </c>
      <c r="B9" s="23"/>
      <c r="C9" s="21"/>
      <c r="D9" s="8"/>
      <c r="E9" s="33"/>
      <c r="F9" s="33"/>
      <c r="G9" s="16"/>
      <c r="H9" s="16"/>
      <c r="I9" s="9"/>
      <c r="J9" s="9"/>
      <c r="K9" s="9"/>
      <c r="L9" s="9"/>
      <c r="M9" s="24"/>
      <c r="N9" s="24"/>
      <c r="O9" s="24"/>
      <c r="P9" s="24"/>
    </row>
    <row r="10" spans="1:16" s="17" customFormat="1" ht="15" customHeight="1" x14ac:dyDescent="0.35">
      <c r="A10" s="11">
        <v>6</v>
      </c>
      <c r="B10" s="23"/>
      <c r="C10" s="21"/>
      <c r="D10" s="8"/>
      <c r="E10" s="33"/>
      <c r="F10" s="33"/>
      <c r="G10" s="16"/>
      <c r="H10" s="16"/>
      <c r="I10" s="9"/>
      <c r="J10" s="9"/>
      <c r="K10" s="9"/>
      <c r="L10" s="9"/>
      <c r="M10" s="24"/>
      <c r="N10" s="24"/>
      <c r="O10" s="24"/>
      <c r="P10" s="24"/>
    </row>
    <row r="11" spans="1:16" ht="15" customHeight="1" x14ac:dyDescent="0.35">
      <c r="A11" s="11">
        <v>7</v>
      </c>
      <c r="B11" s="23"/>
      <c r="C11" s="21"/>
      <c r="D11" s="8"/>
      <c r="E11" s="33"/>
      <c r="F11" s="33"/>
      <c r="G11" s="16"/>
      <c r="H11" s="16"/>
      <c r="I11" s="9"/>
      <c r="J11" s="9"/>
      <c r="K11" s="9"/>
      <c r="L11" s="9"/>
      <c r="M11" s="24"/>
      <c r="N11" s="24"/>
      <c r="O11" s="24"/>
      <c r="P11" s="24"/>
    </row>
    <row r="12" spans="1:16" ht="15" customHeight="1" x14ac:dyDescent="0.35">
      <c r="A12" s="11">
        <v>8</v>
      </c>
      <c r="B12" s="23"/>
      <c r="C12" s="21"/>
      <c r="D12" s="8"/>
      <c r="E12" s="33"/>
      <c r="F12" s="33"/>
      <c r="G12" s="16"/>
      <c r="H12" s="16"/>
      <c r="I12" s="9"/>
      <c r="J12" s="9"/>
      <c r="K12" s="9"/>
      <c r="L12" s="9"/>
      <c r="M12" s="24"/>
      <c r="N12" s="24"/>
      <c r="O12" s="24"/>
      <c r="P12" s="24"/>
    </row>
    <row r="13" spans="1:16" ht="15" customHeight="1" x14ac:dyDescent="0.35">
      <c r="A13" s="11">
        <v>9</v>
      </c>
      <c r="B13" s="23"/>
      <c r="C13" s="21"/>
      <c r="D13" s="8"/>
      <c r="E13" s="33"/>
      <c r="F13" s="33"/>
      <c r="G13" s="16"/>
      <c r="H13" s="16"/>
      <c r="I13" s="9"/>
      <c r="J13" s="9"/>
      <c r="K13" s="9"/>
      <c r="L13" s="9"/>
      <c r="M13" s="24"/>
      <c r="N13" s="24"/>
      <c r="O13" s="24"/>
      <c r="P13" s="24"/>
    </row>
    <row r="14" spans="1:16" ht="15" customHeight="1" x14ac:dyDescent="0.35">
      <c r="A14" s="11">
        <v>10</v>
      </c>
      <c r="B14" s="23"/>
      <c r="C14" s="21"/>
      <c r="D14" s="8"/>
      <c r="E14" s="33"/>
      <c r="F14" s="33"/>
      <c r="G14" s="16"/>
      <c r="H14" s="16"/>
      <c r="I14" s="9"/>
      <c r="J14" s="9"/>
      <c r="K14" s="9"/>
      <c r="L14" s="9"/>
      <c r="M14" s="24"/>
      <c r="N14" s="24"/>
      <c r="O14" s="24"/>
      <c r="P14" s="24"/>
    </row>
    <row r="15" spans="1:16" ht="15" customHeight="1" x14ac:dyDescent="0.35">
      <c r="A15" s="11">
        <v>11</v>
      </c>
      <c r="B15" s="23"/>
      <c r="C15" s="21"/>
      <c r="D15" s="8"/>
      <c r="E15" s="33"/>
      <c r="F15" s="33"/>
      <c r="G15" s="16"/>
      <c r="H15" s="16"/>
      <c r="I15" s="9"/>
      <c r="J15" s="9"/>
      <c r="K15" s="9"/>
      <c r="L15" s="9"/>
      <c r="M15" s="24"/>
      <c r="N15" s="24"/>
      <c r="O15" s="24"/>
      <c r="P15" s="24"/>
    </row>
    <row r="16" spans="1:16" ht="15" customHeight="1" x14ac:dyDescent="0.35">
      <c r="A16" s="11">
        <v>12</v>
      </c>
      <c r="B16" s="23"/>
      <c r="C16" s="21"/>
      <c r="D16" s="8"/>
      <c r="E16" s="33"/>
      <c r="F16" s="33"/>
      <c r="G16" s="16"/>
      <c r="H16" s="16"/>
      <c r="I16" s="9"/>
      <c r="J16" s="9"/>
      <c r="K16" s="9"/>
      <c r="L16" s="9"/>
      <c r="M16" s="24"/>
      <c r="N16" s="24"/>
      <c r="O16" s="24"/>
      <c r="P16" s="24"/>
    </row>
    <row r="17" spans="1:16" ht="15" customHeight="1" x14ac:dyDescent="0.35">
      <c r="A17" s="11">
        <v>13</v>
      </c>
      <c r="B17" s="23"/>
      <c r="C17" s="21"/>
      <c r="D17" s="8"/>
      <c r="E17" s="33"/>
      <c r="F17" s="33"/>
      <c r="G17" s="16"/>
      <c r="H17" s="16"/>
      <c r="I17" s="9"/>
      <c r="J17" s="9"/>
      <c r="K17" s="9"/>
      <c r="L17" s="9"/>
      <c r="M17" s="24"/>
      <c r="N17" s="24"/>
      <c r="O17" s="24"/>
      <c r="P17" s="24"/>
    </row>
    <row r="18" spans="1:16" ht="15" customHeight="1" x14ac:dyDescent="0.35">
      <c r="A18" s="11">
        <v>14</v>
      </c>
      <c r="B18" s="23"/>
      <c r="C18" s="21"/>
      <c r="D18" s="8"/>
      <c r="E18" s="33"/>
      <c r="F18" s="33"/>
      <c r="G18" s="16"/>
      <c r="H18" s="16"/>
      <c r="I18" s="9"/>
      <c r="J18" s="9"/>
      <c r="K18" s="9"/>
      <c r="L18" s="9"/>
      <c r="M18" s="24"/>
      <c r="N18" s="24"/>
      <c r="O18" s="24"/>
      <c r="P18" s="24"/>
    </row>
    <row r="19" spans="1:16" ht="15" customHeight="1" thickBot="1" x14ac:dyDescent="0.4">
      <c r="B19" s="19" t="s">
        <v>12</v>
      </c>
      <c r="C19" s="18"/>
      <c r="D19" s="22">
        <f>SUM(D5:D10)</f>
        <v>5200</v>
      </c>
      <c r="E19" s="22">
        <f t="shared" ref="E19:K19" si="0">SUM(E5:E18)</f>
        <v>5200</v>
      </c>
      <c r="F19" s="22">
        <f t="shared" si="0"/>
        <v>0</v>
      </c>
      <c r="G19" s="22">
        <f t="shared" si="0"/>
        <v>25042.989999999932</v>
      </c>
      <c r="H19" s="22">
        <f t="shared" si="0"/>
        <v>25042.989999999932</v>
      </c>
      <c r="I19" s="22">
        <f t="shared" si="0"/>
        <v>25042.989999999932</v>
      </c>
      <c r="J19" s="22">
        <f t="shared" si="0"/>
        <v>0</v>
      </c>
      <c r="K19" s="22">
        <f t="shared" si="0"/>
        <v>25042.989999999932</v>
      </c>
      <c r="L19" s="22">
        <f t="shared" ref="L19" si="1">SUM(L5:L18)</f>
        <v>28350</v>
      </c>
      <c r="M19" s="20"/>
      <c r="N19" s="20"/>
      <c r="O19" s="20"/>
      <c r="P19" s="20"/>
    </row>
    <row r="20" spans="1:16" ht="15" customHeight="1" thickTop="1" x14ac:dyDescent="0.35"/>
    <row r="21" spans="1:16" ht="15" customHeight="1" x14ac:dyDescent="0.35"/>
    <row r="22" spans="1:16" ht="15" customHeight="1" x14ac:dyDescent="0.35"/>
    <row r="23" spans="1:16" ht="15" customHeight="1" x14ac:dyDescent="0.35"/>
    <row r="24" spans="1:16" ht="15" customHeight="1" x14ac:dyDescent="0.35">
      <c r="B24" s="12"/>
      <c r="C24"/>
      <c r="D24" s="6"/>
      <c r="E24" s="6"/>
      <c r="F24" s="6"/>
      <c r="G24" s="1"/>
      <c r="H24" s="1"/>
      <c r="I24" s="1"/>
      <c r="J24" s="1"/>
    </row>
    <row r="25" spans="1:16" ht="15" customHeight="1" x14ac:dyDescent="0.35">
      <c r="B25" s="5"/>
      <c r="C25"/>
      <c r="D25" s="6"/>
      <c r="E25" s="6"/>
      <c r="F25" s="6"/>
      <c r="G25" s="1"/>
      <c r="H25" s="1"/>
      <c r="I25" s="1"/>
      <c r="J25" s="1"/>
    </row>
    <row r="26" spans="1:16" ht="15" customHeight="1" x14ac:dyDescent="0.35">
      <c r="B26" s="5"/>
      <c r="C26"/>
      <c r="D26" s="6"/>
      <c r="E26" s="6"/>
      <c r="F26" s="6"/>
      <c r="G26" s="1"/>
      <c r="H26" s="1"/>
      <c r="I26" s="1"/>
      <c r="J26" s="1"/>
    </row>
    <row r="27" spans="1:16" ht="15" customHeight="1" x14ac:dyDescent="0.35">
      <c r="B27" s="5"/>
      <c r="C27"/>
      <c r="D27" s="10"/>
      <c r="E27" s="10"/>
      <c r="F27" s="10"/>
      <c r="G27" s="1"/>
      <c r="H27" s="1"/>
      <c r="I27" s="1"/>
      <c r="J27" s="1"/>
    </row>
    <row r="28" spans="1:16" ht="15" customHeight="1" x14ac:dyDescent="0.35">
      <c r="A28" s="20"/>
      <c r="B28" s="5"/>
      <c r="C28"/>
      <c r="D28" s="10"/>
      <c r="E28" s="10"/>
      <c r="F28" s="10"/>
      <c r="G28" s="1"/>
      <c r="H28" s="1"/>
      <c r="I28" s="1"/>
      <c r="J28" s="1"/>
      <c r="K28" s="20"/>
    </row>
    <row r="29" spans="1:16" ht="15" customHeight="1" x14ac:dyDescent="0.35">
      <c r="A29" s="20"/>
      <c r="B29" s="5"/>
      <c r="K29" s="20"/>
    </row>
    <row r="30" spans="1:16" ht="15" customHeight="1" x14ac:dyDescent="0.35">
      <c r="K30" s="1"/>
    </row>
    <row r="31" spans="1:16" ht="15" customHeight="1" x14ac:dyDescent="0.35">
      <c r="K31" s="1"/>
    </row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</sheetData>
  <autoFilter ref="A4:P19" xr:uid="{00000000-0009-0000-0000-000000000000}">
    <sortState xmlns:xlrd2="http://schemas.microsoft.com/office/spreadsheetml/2017/richdata2" ref="A5:P11">
      <sortCondition ref="C4:C11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C11A-0567-42A2-96AA-FBE02F49F26E}">
  <sheetPr>
    <pageSetUpPr fitToPage="1"/>
  </sheetPr>
  <dimension ref="A2:Q41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B5" sqref="B5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1.54296875" style="2" bestFit="1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s="17" customFormat="1" ht="15" customHeight="1" x14ac:dyDescent="0.35">
      <c r="A5" s="11">
        <v>1</v>
      </c>
      <c r="B5" s="23" t="s">
        <v>16</v>
      </c>
      <c r="C5" s="21">
        <v>45825</v>
      </c>
      <c r="D5" s="8">
        <f>2500+2500</f>
        <v>5000</v>
      </c>
      <c r="E5" s="33">
        <f t="shared" ref="E5" si="0">+D5-F5</f>
        <v>2500</v>
      </c>
      <c r="F5" s="33">
        <f>+D5*0.5</f>
        <v>2500</v>
      </c>
      <c r="G5" s="16">
        <f>33866.01-11620.55-5000</f>
        <v>17245.460000000003</v>
      </c>
      <c r="H5" s="16">
        <f t="shared" ref="H5:H7" si="1">G5*0.5</f>
        <v>8622.7300000000014</v>
      </c>
      <c r="I5" s="9">
        <f>+G5+D5</f>
        <v>22245.460000000003</v>
      </c>
      <c r="J5" s="9">
        <f>+I5*0.5</f>
        <v>11122.730000000001</v>
      </c>
      <c r="K5" s="9">
        <v>0</v>
      </c>
      <c r="L5" s="9"/>
      <c r="M5" s="24"/>
      <c r="N5" s="24"/>
      <c r="O5" s="24"/>
      <c r="P5" s="24"/>
      <c r="Q5" s="24"/>
    </row>
    <row r="6" spans="1:17" s="17" customFormat="1" ht="15" customHeight="1" x14ac:dyDescent="0.35">
      <c r="A6" s="11">
        <v>2</v>
      </c>
      <c r="B6" s="23" t="s">
        <v>24</v>
      </c>
      <c r="C6" s="21">
        <v>45826</v>
      </c>
      <c r="D6" s="8">
        <v>6252</v>
      </c>
      <c r="E6" s="33">
        <v>3126</v>
      </c>
      <c r="F6" s="33">
        <v>3126</v>
      </c>
      <c r="G6" s="16"/>
      <c r="H6" s="16">
        <f t="shared" si="1"/>
        <v>0</v>
      </c>
      <c r="I6" s="9">
        <f>+D6+G6</f>
        <v>6252</v>
      </c>
      <c r="J6" s="9">
        <v>3500</v>
      </c>
      <c r="K6" s="9">
        <v>0</v>
      </c>
      <c r="L6" s="9"/>
      <c r="M6" s="24"/>
      <c r="N6" s="24"/>
      <c r="O6" s="24"/>
      <c r="P6" s="24"/>
      <c r="Q6" s="24"/>
    </row>
    <row r="7" spans="1:17" s="17" customFormat="1" ht="15" customHeight="1" x14ac:dyDescent="0.35">
      <c r="A7" s="11">
        <v>3</v>
      </c>
      <c r="B7" s="23" t="s">
        <v>17</v>
      </c>
      <c r="C7" s="21">
        <v>45834</v>
      </c>
      <c r="D7" s="8">
        <v>2000</v>
      </c>
      <c r="E7" s="33">
        <v>1000</v>
      </c>
      <c r="F7" s="33">
        <v>1000</v>
      </c>
      <c r="G7" s="16">
        <f>22505.45-2000-18452.57</f>
        <v>2052.880000000001</v>
      </c>
      <c r="H7" s="16">
        <f t="shared" si="1"/>
        <v>1026.4400000000005</v>
      </c>
      <c r="I7" s="9">
        <f>+G7+D7</f>
        <v>4052.880000000001</v>
      </c>
      <c r="J7" s="9">
        <v>3500</v>
      </c>
      <c r="K7" s="9">
        <v>0</v>
      </c>
      <c r="L7" s="9"/>
      <c r="M7" s="24"/>
      <c r="N7" s="24"/>
      <c r="O7" s="24"/>
      <c r="P7" s="24"/>
      <c r="Q7" s="24"/>
    </row>
    <row r="8" spans="1:17" s="17" customFormat="1" ht="15" customHeight="1" x14ac:dyDescent="0.35">
      <c r="A8" s="11">
        <v>4</v>
      </c>
      <c r="B8" s="23"/>
      <c r="C8" s="21"/>
      <c r="D8" s="8"/>
      <c r="E8" s="33"/>
      <c r="F8" s="33"/>
      <c r="G8" s="16"/>
      <c r="H8" s="16"/>
      <c r="I8" s="9"/>
      <c r="J8" s="9"/>
      <c r="K8" s="9"/>
      <c r="L8" s="9"/>
      <c r="M8" s="23"/>
      <c r="N8" s="24"/>
      <c r="O8" s="24"/>
      <c r="P8" s="24"/>
      <c r="Q8" s="24"/>
    </row>
    <row r="9" spans="1:17" s="17" customFormat="1" ht="15" customHeight="1" x14ac:dyDescent="0.35">
      <c r="A9" s="11">
        <v>5</v>
      </c>
      <c r="B9" s="23"/>
      <c r="C9" s="21"/>
      <c r="D9" s="8"/>
      <c r="E9" s="33"/>
      <c r="F9" s="33"/>
      <c r="G9" s="16"/>
      <c r="H9" s="16"/>
      <c r="I9" s="9"/>
      <c r="J9" s="9"/>
      <c r="K9" s="9"/>
      <c r="L9" s="9"/>
      <c r="M9" s="24"/>
      <c r="N9" s="25"/>
      <c r="O9" s="24"/>
      <c r="P9" s="24"/>
      <c r="Q9" s="24"/>
    </row>
    <row r="10" spans="1:17" s="17" customFormat="1" ht="15" customHeight="1" x14ac:dyDescent="0.35">
      <c r="A10" s="11">
        <v>6</v>
      </c>
      <c r="B10" s="23"/>
      <c r="C10" s="21"/>
      <c r="D10" s="8"/>
      <c r="E10" s="33"/>
      <c r="F10" s="33"/>
      <c r="G10" s="16"/>
      <c r="H10" s="16"/>
      <c r="I10" s="9"/>
      <c r="J10" s="9"/>
      <c r="K10" s="9"/>
      <c r="L10" s="9"/>
      <c r="M10" s="24"/>
      <c r="N10" s="24"/>
      <c r="O10" s="24"/>
      <c r="P10" s="24"/>
      <c r="Q10" s="24"/>
    </row>
    <row r="11" spans="1:17" ht="15" customHeight="1" x14ac:dyDescent="0.35">
      <c r="A11" s="11">
        <v>7</v>
      </c>
      <c r="B11" s="23"/>
      <c r="C11" s="21"/>
      <c r="D11" s="8"/>
      <c r="E11" s="33"/>
      <c r="F11" s="33"/>
      <c r="G11" s="16"/>
      <c r="H11" s="16"/>
      <c r="I11" s="9"/>
      <c r="J11" s="9"/>
      <c r="K11" s="9"/>
      <c r="L11" s="9"/>
      <c r="M11" s="24"/>
      <c r="N11" s="24"/>
      <c r="O11" s="24"/>
      <c r="P11" s="24"/>
      <c r="Q11" s="24"/>
    </row>
    <row r="12" spans="1:17" ht="15" customHeight="1" x14ac:dyDescent="0.35">
      <c r="A12" s="11">
        <v>8</v>
      </c>
      <c r="B12" s="23"/>
      <c r="C12" s="21"/>
      <c r="D12" s="8"/>
      <c r="E12" s="33"/>
      <c r="F12" s="33"/>
      <c r="G12" s="16"/>
      <c r="H12" s="16"/>
      <c r="I12" s="9"/>
      <c r="J12" s="9"/>
      <c r="K12" s="9"/>
      <c r="L12" s="9"/>
      <c r="M12" s="24"/>
      <c r="N12" s="24"/>
      <c r="O12" s="24"/>
      <c r="P12" s="24"/>
      <c r="Q12" s="24"/>
    </row>
    <row r="13" spans="1:17" ht="15" customHeight="1" x14ac:dyDescent="0.35">
      <c r="A13" s="11">
        <v>9</v>
      </c>
      <c r="B13" s="23"/>
      <c r="C13" s="21"/>
      <c r="D13" s="8"/>
      <c r="E13" s="33"/>
      <c r="F13" s="33"/>
      <c r="G13" s="16"/>
      <c r="H13" s="16"/>
      <c r="I13" s="9"/>
      <c r="J13" s="9"/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>
        <v>10</v>
      </c>
      <c r="B14" s="23"/>
      <c r="C14" s="21"/>
      <c r="D14" s="8"/>
      <c r="E14" s="33"/>
      <c r="F14" s="33"/>
      <c r="G14" s="16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x14ac:dyDescent="0.35">
      <c r="A15" s="11">
        <v>11</v>
      </c>
      <c r="B15" s="23"/>
      <c r="C15" s="21"/>
      <c r="D15" s="8"/>
      <c r="E15" s="33"/>
      <c r="F15" s="33"/>
      <c r="G15" s="16"/>
      <c r="H15" s="16"/>
      <c r="I15" s="9"/>
      <c r="J15" s="9"/>
      <c r="K15" s="9"/>
      <c r="L15" s="9"/>
      <c r="M15" s="23"/>
      <c r="N15" s="24"/>
      <c r="O15" s="24"/>
      <c r="P15" s="24"/>
      <c r="Q15" s="24"/>
    </row>
    <row r="16" spans="1:17" ht="15" customHeight="1" x14ac:dyDescent="0.35">
      <c r="A16" s="11">
        <v>12</v>
      </c>
      <c r="B16" s="23"/>
      <c r="C16" s="21"/>
      <c r="D16" s="8"/>
      <c r="E16" s="33"/>
      <c r="F16" s="33"/>
      <c r="G16" s="16"/>
      <c r="H16" s="16"/>
      <c r="I16" s="9"/>
      <c r="J16" s="9"/>
      <c r="K16" s="9"/>
      <c r="L16" s="9"/>
      <c r="M16" s="24"/>
      <c r="N16" s="24"/>
      <c r="O16" s="24"/>
      <c r="P16" s="24"/>
      <c r="Q16" s="24"/>
    </row>
    <row r="17" spans="1:17" ht="15" customHeight="1" x14ac:dyDescent="0.35">
      <c r="A17" s="11">
        <v>13</v>
      </c>
      <c r="B17" s="23"/>
      <c r="C17" s="21"/>
      <c r="D17" s="8"/>
      <c r="E17" s="33"/>
      <c r="F17" s="33"/>
      <c r="G17" s="16"/>
      <c r="H17" s="16"/>
      <c r="I17" s="9"/>
      <c r="J17" s="9"/>
      <c r="K17" s="9"/>
      <c r="L17" s="9"/>
      <c r="M17" s="24"/>
      <c r="N17" s="24"/>
      <c r="O17" s="24"/>
      <c r="P17" s="24"/>
      <c r="Q17" s="24"/>
    </row>
    <row r="18" spans="1:17" ht="15" customHeight="1" x14ac:dyDescent="0.35">
      <c r="A18" s="11">
        <v>14</v>
      </c>
      <c r="B18" s="23"/>
      <c r="C18" s="21"/>
      <c r="D18" s="8"/>
      <c r="E18" s="33"/>
      <c r="F18" s="33"/>
      <c r="G18" s="16"/>
      <c r="H18" s="16"/>
      <c r="I18" s="9"/>
      <c r="J18" s="9"/>
      <c r="K18" s="9"/>
      <c r="L18" s="9"/>
      <c r="M18" s="24"/>
      <c r="N18" s="24"/>
      <c r="O18" s="24"/>
      <c r="P18" s="24"/>
      <c r="Q18" s="24"/>
    </row>
    <row r="19" spans="1:17" ht="15" customHeight="1" thickBot="1" x14ac:dyDescent="0.4">
      <c r="B19" s="19" t="s">
        <v>12</v>
      </c>
      <c r="C19" s="18"/>
      <c r="D19" s="22">
        <f>SUM(D5:D10)</f>
        <v>13252</v>
      </c>
      <c r="E19" s="22">
        <f t="shared" ref="E19:K19" si="2">SUM(E5:E18)</f>
        <v>6626</v>
      </c>
      <c r="F19" s="22">
        <f t="shared" si="2"/>
        <v>6626</v>
      </c>
      <c r="G19" s="22">
        <f t="shared" si="2"/>
        <v>19298.340000000004</v>
      </c>
      <c r="H19" s="22">
        <f t="shared" si="2"/>
        <v>9649.1700000000019</v>
      </c>
      <c r="I19" s="22">
        <f t="shared" si="2"/>
        <v>32550.340000000004</v>
      </c>
      <c r="J19" s="22">
        <f t="shared" si="2"/>
        <v>18122.730000000003</v>
      </c>
      <c r="K19" s="22">
        <f t="shared" si="2"/>
        <v>0</v>
      </c>
      <c r="L19" s="22">
        <f t="shared" ref="L19" si="3">SUM(L5:L18)</f>
        <v>0</v>
      </c>
      <c r="M19" s="20"/>
      <c r="N19" s="20"/>
      <c r="O19" s="20"/>
      <c r="P19" s="20"/>
      <c r="Q19" s="20"/>
    </row>
    <row r="20" spans="1:17" ht="15" customHeight="1" thickTop="1" x14ac:dyDescent="0.35"/>
    <row r="21" spans="1:17" ht="15" customHeight="1" x14ac:dyDescent="0.35"/>
    <row r="22" spans="1:17" ht="15" customHeight="1" x14ac:dyDescent="0.35"/>
    <row r="23" spans="1:17" ht="15" customHeight="1" x14ac:dyDescent="0.35"/>
    <row r="24" spans="1:17" ht="15" customHeight="1" x14ac:dyDescent="0.35">
      <c r="B24" s="12"/>
      <c r="C24"/>
      <c r="D24" s="6"/>
      <c r="E24" s="6"/>
      <c r="F24" s="6"/>
      <c r="G24" s="1"/>
      <c r="H24" s="1"/>
      <c r="I24" s="1"/>
      <c r="J24" s="1"/>
    </row>
    <row r="25" spans="1:17" ht="15" customHeight="1" x14ac:dyDescent="0.35">
      <c r="B25" s="5"/>
      <c r="C25"/>
      <c r="D25" s="6"/>
      <c r="E25" s="6"/>
      <c r="F25" s="6"/>
      <c r="G25" s="1"/>
      <c r="H25" s="1"/>
      <c r="I25" s="1"/>
      <c r="J25" s="1"/>
    </row>
    <row r="26" spans="1:17" ht="15" customHeight="1" x14ac:dyDescent="0.35">
      <c r="B26" s="5"/>
      <c r="C26"/>
      <c r="D26" s="6"/>
      <c r="E26" s="6"/>
      <c r="F26" s="6"/>
      <c r="G26" s="1"/>
      <c r="H26" s="1"/>
      <c r="I26" s="1"/>
      <c r="J26" s="1"/>
    </row>
    <row r="27" spans="1:17" ht="15" customHeight="1" x14ac:dyDescent="0.35">
      <c r="B27" s="5"/>
      <c r="C27"/>
      <c r="D27" s="10"/>
      <c r="E27" s="10"/>
      <c r="F27" s="10"/>
      <c r="G27" s="1"/>
      <c r="H27" s="1"/>
      <c r="I27" s="1"/>
      <c r="J27" s="1"/>
    </row>
    <row r="28" spans="1:17" ht="15" customHeight="1" x14ac:dyDescent="0.35">
      <c r="A28" s="20"/>
      <c r="B28" s="5"/>
      <c r="C28"/>
      <c r="D28" s="10"/>
      <c r="E28" s="10"/>
      <c r="F28" s="10"/>
      <c r="G28" s="1"/>
      <c r="H28" s="1"/>
      <c r="I28" s="1"/>
      <c r="J28" s="1"/>
      <c r="K28" s="20"/>
    </row>
    <row r="29" spans="1:17" ht="15" customHeight="1" x14ac:dyDescent="0.35">
      <c r="A29" s="20"/>
      <c r="B29" s="5"/>
      <c r="K29" s="20"/>
    </row>
    <row r="30" spans="1:17" ht="15" customHeight="1" x14ac:dyDescent="0.35">
      <c r="K30" s="1"/>
    </row>
    <row r="31" spans="1:17" ht="15" customHeight="1" x14ac:dyDescent="0.35">
      <c r="K31" s="1"/>
    </row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</sheetData>
  <autoFilter ref="A4:Q19" xr:uid="{00000000-0009-0000-0000-000000000000}">
    <sortState xmlns:xlrd2="http://schemas.microsoft.com/office/spreadsheetml/2017/richdata2" ref="A5:Q11">
      <sortCondition ref="C4:C11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B90F-E9FF-4F3F-86FA-4D3C9CF00878}">
  <sheetPr>
    <pageSetUpPr fitToPage="1"/>
  </sheetPr>
  <dimension ref="A2:Q41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A5" sqref="A5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1.54296875" style="2" bestFit="1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s="17" customFormat="1" ht="15" customHeight="1" x14ac:dyDescent="0.35">
      <c r="A5" s="11">
        <v>1</v>
      </c>
      <c r="B5" s="23" t="s">
        <v>35</v>
      </c>
      <c r="C5" s="21">
        <v>45839</v>
      </c>
      <c r="D5" s="8">
        <v>4000</v>
      </c>
      <c r="E5" s="33">
        <v>4000</v>
      </c>
      <c r="F5" s="33"/>
      <c r="G5" s="16">
        <v>0</v>
      </c>
      <c r="H5" s="16">
        <f t="shared" ref="H5:H10" si="0">G5*0.5</f>
        <v>0</v>
      </c>
      <c r="I5" s="9">
        <f t="shared" ref="I5" si="1">+D5-E5+G5</f>
        <v>0</v>
      </c>
      <c r="J5" s="9">
        <f>+I5*0.5</f>
        <v>0</v>
      </c>
      <c r="K5" s="9">
        <f t="shared" ref="K5" si="2">+I5-J5</f>
        <v>0</v>
      </c>
      <c r="L5" s="9"/>
      <c r="M5" s="24"/>
      <c r="N5" s="24"/>
      <c r="O5" s="24"/>
      <c r="P5" s="24"/>
      <c r="Q5" s="24"/>
    </row>
    <row r="6" spans="1:17" s="17" customFormat="1" ht="15" customHeight="1" x14ac:dyDescent="0.35">
      <c r="A6" s="11">
        <v>2</v>
      </c>
      <c r="B6" s="36" t="s">
        <v>22</v>
      </c>
      <c r="C6" s="37">
        <v>45846</v>
      </c>
      <c r="D6" s="38">
        <v>2000</v>
      </c>
      <c r="E6" s="38">
        <v>2000</v>
      </c>
      <c r="F6" s="38"/>
      <c r="G6" s="38">
        <v>27823.789999999979</v>
      </c>
      <c r="H6" s="38">
        <f>G6*1</f>
        <v>27823.789999999979</v>
      </c>
      <c r="I6" s="38">
        <f>+D6-E6+G6</f>
        <v>27823.789999999979</v>
      </c>
      <c r="J6" s="38"/>
      <c r="K6" s="38">
        <f>+I6</f>
        <v>27823.789999999979</v>
      </c>
      <c r="L6" s="38"/>
      <c r="M6" s="24"/>
      <c r="N6" s="24"/>
      <c r="O6" s="24"/>
      <c r="P6" s="24"/>
      <c r="Q6" s="24"/>
    </row>
    <row r="7" spans="1:17" s="17" customFormat="1" ht="15" customHeight="1" x14ac:dyDescent="0.35">
      <c r="A7" s="11">
        <v>3</v>
      </c>
      <c r="B7" s="23" t="s">
        <v>18</v>
      </c>
      <c r="C7" s="21">
        <v>45848</v>
      </c>
      <c r="D7" s="8">
        <v>2500</v>
      </c>
      <c r="E7" s="33">
        <v>1250</v>
      </c>
      <c r="F7" s="33">
        <v>1250</v>
      </c>
      <c r="G7" s="16">
        <f>22994-18457-2500</f>
        <v>2037</v>
      </c>
      <c r="H7" s="16">
        <f t="shared" si="0"/>
        <v>1018.5</v>
      </c>
      <c r="I7" s="9">
        <f>+G7+D7</f>
        <v>4537</v>
      </c>
      <c r="J7" s="9">
        <v>3500</v>
      </c>
      <c r="K7" s="9"/>
      <c r="L7" s="9"/>
      <c r="M7" s="24"/>
      <c r="N7" s="24"/>
      <c r="O7" s="24"/>
      <c r="P7" s="24"/>
      <c r="Q7" s="24"/>
    </row>
    <row r="8" spans="1:17" s="17" customFormat="1" ht="15" customHeight="1" x14ac:dyDescent="0.35">
      <c r="A8" s="11">
        <v>4</v>
      </c>
      <c r="B8" s="36" t="s">
        <v>23</v>
      </c>
      <c r="C8" s="37">
        <v>45857</v>
      </c>
      <c r="D8" s="38">
        <v>2000</v>
      </c>
      <c r="E8" s="38">
        <v>2000</v>
      </c>
      <c r="F8" s="38"/>
      <c r="G8" s="38">
        <v>24968</v>
      </c>
      <c r="H8" s="38">
        <f>G8*1</f>
        <v>24968</v>
      </c>
      <c r="I8" s="38">
        <f t="shared" ref="I8" si="3">+D8-E8+G8</f>
        <v>24968</v>
      </c>
      <c r="J8" s="38"/>
      <c r="K8" s="38">
        <f>+I8</f>
        <v>24968</v>
      </c>
      <c r="L8" s="38"/>
      <c r="M8" s="24"/>
      <c r="N8" s="24"/>
      <c r="O8" s="24"/>
      <c r="P8" s="24"/>
      <c r="Q8" s="24"/>
    </row>
    <row r="9" spans="1:17" s="17" customFormat="1" ht="15" customHeight="1" x14ac:dyDescent="0.35">
      <c r="A9" s="11">
        <v>5</v>
      </c>
      <c r="B9" s="23" t="s">
        <v>19</v>
      </c>
      <c r="C9" s="21">
        <v>45863</v>
      </c>
      <c r="D9" s="8">
        <v>2500</v>
      </c>
      <c r="E9" s="33">
        <v>1250</v>
      </c>
      <c r="F9" s="33">
        <v>1250</v>
      </c>
      <c r="G9" s="16">
        <v>3203</v>
      </c>
      <c r="H9" s="16">
        <f t="shared" si="0"/>
        <v>1601.5</v>
      </c>
      <c r="I9" s="9">
        <f>+G9+D9</f>
        <v>5703</v>
      </c>
      <c r="J9" s="9">
        <v>3500</v>
      </c>
      <c r="K9" s="9"/>
      <c r="L9" s="9"/>
      <c r="M9" s="24"/>
      <c r="N9" s="25"/>
      <c r="O9" s="24"/>
      <c r="P9" s="24"/>
      <c r="Q9" s="24"/>
    </row>
    <row r="10" spans="1:17" s="17" customFormat="1" ht="15" customHeight="1" x14ac:dyDescent="0.35">
      <c r="A10" s="11">
        <v>6</v>
      </c>
      <c r="B10" s="23" t="s">
        <v>20</v>
      </c>
      <c r="C10" s="21">
        <v>45869</v>
      </c>
      <c r="D10" s="8">
        <v>5000</v>
      </c>
      <c r="E10" s="33">
        <f>+D10-F10</f>
        <v>2500</v>
      </c>
      <c r="F10" s="33">
        <f>+D10*0.5</f>
        <v>2500</v>
      </c>
      <c r="G10" s="34">
        <v>3888</v>
      </c>
      <c r="H10" s="16">
        <f t="shared" si="0"/>
        <v>1944</v>
      </c>
      <c r="I10" s="9">
        <f>+G10+D10</f>
        <v>8888</v>
      </c>
      <c r="J10" s="9">
        <f>+I10*0.5</f>
        <v>4444</v>
      </c>
      <c r="K10" s="9"/>
      <c r="L10" s="9"/>
      <c r="M10" s="24"/>
      <c r="N10" s="24"/>
      <c r="O10" s="24"/>
      <c r="P10" s="24"/>
      <c r="Q10" s="24"/>
    </row>
    <row r="11" spans="1:17" ht="15" customHeight="1" x14ac:dyDescent="0.35">
      <c r="A11" s="11">
        <v>7</v>
      </c>
      <c r="B11" s="26"/>
      <c r="C11" s="21"/>
      <c r="D11" s="8"/>
      <c r="E11" s="33"/>
      <c r="F11" s="33"/>
      <c r="G11" s="16"/>
      <c r="H11" s="16"/>
      <c r="I11" s="9"/>
      <c r="J11" s="9"/>
      <c r="K11" s="9"/>
      <c r="L11" s="9"/>
      <c r="M11" s="24"/>
      <c r="N11" s="24"/>
      <c r="O11" s="24"/>
      <c r="P11" s="24"/>
      <c r="Q11" s="24"/>
    </row>
    <row r="12" spans="1:17" ht="15" customHeight="1" x14ac:dyDescent="0.35">
      <c r="A12" s="11">
        <v>8</v>
      </c>
      <c r="B12" s="26"/>
      <c r="C12" s="21"/>
      <c r="D12" s="8"/>
      <c r="E12" s="33"/>
      <c r="F12" s="33"/>
      <c r="G12" s="16"/>
      <c r="H12" s="16"/>
      <c r="I12" s="9"/>
      <c r="J12" s="9"/>
      <c r="K12" s="9"/>
      <c r="L12" s="9"/>
      <c r="M12" s="24"/>
      <c r="N12" s="24"/>
      <c r="O12" s="24"/>
      <c r="P12" s="24"/>
      <c r="Q12" s="24"/>
    </row>
    <row r="13" spans="1:17" ht="15" customHeight="1" x14ac:dyDescent="0.35">
      <c r="A13" s="11">
        <v>9</v>
      </c>
      <c r="B13" s="26"/>
      <c r="C13" s="21"/>
      <c r="D13" s="8"/>
      <c r="E13" s="33"/>
      <c r="F13" s="33"/>
      <c r="G13" s="16"/>
      <c r="H13" s="16"/>
      <c r="I13" s="9"/>
      <c r="J13" s="9"/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>
        <v>10</v>
      </c>
      <c r="B14" s="23"/>
      <c r="C14" s="21"/>
      <c r="D14" s="8"/>
      <c r="E14" s="33"/>
      <c r="F14" s="33"/>
      <c r="G14" s="16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x14ac:dyDescent="0.35">
      <c r="A15" s="11">
        <v>11</v>
      </c>
      <c r="B15" s="23"/>
      <c r="C15" s="21"/>
      <c r="D15" s="8"/>
      <c r="E15" s="33"/>
      <c r="F15" s="33"/>
      <c r="G15" s="16"/>
      <c r="H15" s="16"/>
      <c r="I15" s="9"/>
      <c r="J15" s="9"/>
      <c r="K15" s="9"/>
      <c r="L15" s="9"/>
      <c r="M15" s="23"/>
      <c r="N15" s="24"/>
      <c r="O15" s="24"/>
      <c r="P15" s="24"/>
      <c r="Q15" s="24"/>
    </row>
    <row r="16" spans="1:17" ht="15" customHeight="1" x14ac:dyDescent="0.35">
      <c r="A16" s="11">
        <v>12</v>
      </c>
      <c r="B16" s="23"/>
      <c r="C16" s="21"/>
      <c r="D16" s="8"/>
      <c r="E16" s="33"/>
      <c r="F16" s="33"/>
      <c r="G16" s="16"/>
      <c r="H16" s="16"/>
      <c r="I16" s="9"/>
      <c r="J16" s="9"/>
      <c r="K16" s="9"/>
      <c r="L16" s="9"/>
      <c r="M16" s="24"/>
      <c r="N16" s="24"/>
      <c r="O16" s="24"/>
      <c r="P16" s="24"/>
      <c r="Q16" s="24"/>
    </row>
    <row r="17" spans="1:17" ht="15" customHeight="1" x14ac:dyDescent="0.35">
      <c r="A17" s="11">
        <v>13</v>
      </c>
      <c r="B17" s="23"/>
      <c r="C17" s="21"/>
      <c r="D17" s="8"/>
      <c r="E17" s="33"/>
      <c r="F17" s="33"/>
      <c r="G17" s="16"/>
      <c r="H17" s="16"/>
      <c r="I17" s="9"/>
      <c r="J17" s="9"/>
      <c r="K17" s="9"/>
      <c r="L17" s="9"/>
      <c r="M17" s="24"/>
      <c r="N17" s="24"/>
      <c r="O17" s="24"/>
      <c r="P17" s="24"/>
      <c r="Q17" s="24"/>
    </row>
    <row r="18" spans="1:17" ht="15" customHeight="1" x14ac:dyDescent="0.35">
      <c r="A18" s="11">
        <v>14</v>
      </c>
      <c r="B18" s="23"/>
      <c r="C18" s="21"/>
      <c r="D18" s="8"/>
      <c r="E18" s="33"/>
      <c r="F18" s="33"/>
      <c r="G18" s="16"/>
      <c r="H18" s="16"/>
      <c r="I18" s="9"/>
      <c r="J18" s="9"/>
      <c r="K18" s="9"/>
      <c r="L18" s="9"/>
      <c r="M18" s="24"/>
      <c r="N18" s="24"/>
      <c r="O18" s="24"/>
      <c r="P18" s="24"/>
      <c r="Q18" s="24"/>
    </row>
    <row r="19" spans="1:17" ht="15" customHeight="1" thickBot="1" x14ac:dyDescent="0.4">
      <c r="B19" s="19" t="s">
        <v>12</v>
      </c>
      <c r="C19" s="18"/>
      <c r="D19" s="22">
        <f>SUM(D5:D10)</f>
        <v>18000</v>
      </c>
      <c r="E19" s="22">
        <f t="shared" ref="E19:K19" si="4">SUM(E5:E18)</f>
        <v>13000</v>
      </c>
      <c r="F19" s="22">
        <f t="shared" si="4"/>
        <v>5000</v>
      </c>
      <c r="G19" s="22">
        <f t="shared" si="4"/>
        <v>61919.789999999979</v>
      </c>
      <c r="H19" s="22">
        <f t="shared" si="4"/>
        <v>57355.789999999979</v>
      </c>
      <c r="I19" s="22">
        <f t="shared" si="4"/>
        <v>71919.789999999979</v>
      </c>
      <c r="J19" s="22">
        <f t="shared" si="4"/>
        <v>11444</v>
      </c>
      <c r="K19" s="22">
        <f t="shared" si="4"/>
        <v>52791.789999999979</v>
      </c>
      <c r="L19" s="22">
        <f t="shared" ref="L19" si="5">SUM(L5:L18)</f>
        <v>0</v>
      </c>
      <c r="M19" s="20"/>
      <c r="N19" s="20"/>
      <c r="O19" s="20"/>
      <c r="P19" s="20"/>
      <c r="Q19" s="20"/>
    </row>
    <row r="20" spans="1:17" ht="15" customHeight="1" thickTop="1" x14ac:dyDescent="0.35"/>
    <row r="21" spans="1:17" ht="15" customHeight="1" x14ac:dyDescent="0.35"/>
    <row r="22" spans="1:17" ht="15" customHeight="1" x14ac:dyDescent="0.35"/>
    <row r="23" spans="1:17" ht="15" customHeight="1" x14ac:dyDescent="0.35"/>
    <row r="24" spans="1:17" ht="15" customHeight="1" x14ac:dyDescent="0.35">
      <c r="B24" s="12"/>
      <c r="C24"/>
      <c r="D24" s="6"/>
      <c r="E24" s="6"/>
      <c r="F24" s="6"/>
      <c r="G24" s="1"/>
      <c r="H24" s="1"/>
      <c r="I24" s="1"/>
      <c r="J24" s="1"/>
    </row>
    <row r="25" spans="1:17" ht="15" customHeight="1" x14ac:dyDescent="0.35">
      <c r="B25" s="5"/>
      <c r="C25"/>
      <c r="D25" s="6"/>
      <c r="E25" s="6"/>
      <c r="F25" s="6"/>
      <c r="G25" s="1"/>
      <c r="H25" s="1"/>
      <c r="I25" s="1"/>
      <c r="J25" s="1"/>
    </row>
    <row r="26" spans="1:17" ht="15" customHeight="1" x14ac:dyDescent="0.35">
      <c r="B26" s="5"/>
      <c r="C26"/>
      <c r="D26" s="6"/>
      <c r="E26" s="6"/>
      <c r="F26" s="6"/>
      <c r="G26" s="1"/>
      <c r="H26" s="1"/>
      <c r="I26" s="1"/>
      <c r="J26" s="1"/>
    </row>
    <row r="27" spans="1:17" ht="15" customHeight="1" x14ac:dyDescent="0.35">
      <c r="B27" s="5"/>
      <c r="C27"/>
      <c r="D27" s="10"/>
      <c r="E27" s="10"/>
      <c r="F27" s="10"/>
      <c r="G27" s="1"/>
      <c r="H27" s="1"/>
      <c r="I27" s="1"/>
      <c r="J27" s="1"/>
    </row>
    <row r="28" spans="1:17" ht="15" customHeight="1" x14ac:dyDescent="0.35">
      <c r="A28" s="20"/>
      <c r="B28" s="5"/>
      <c r="C28"/>
      <c r="D28" s="10"/>
      <c r="E28" s="10"/>
      <c r="F28" s="10"/>
      <c r="G28" s="1"/>
      <c r="H28" s="1"/>
      <c r="I28" s="1"/>
      <c r="J28" s="1"/>
      <c r="K28" s="20"/>
    </row>
    <row r="29" spans="1:17" ht="15" customHeight="1" x14ac:dyDescent="0.35">
      <c r="A29" s="20"/>
      <c r="B29" s="5"/>
      <c r="K29" s="20"/>
    </row>
    <row r="30" spans="1:17" ht="15" customHeight="1" x14ac:dyDescent="0.35">
      <c r="K30" s="1"/>
    </row>
    <row r="31" spans="1:17" ht="15" customHeight="1" x14ac:dyDescent="0.35">
      <c r="K31" s="1"/>
    </row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</sheetData>
  <autoFilter ref="A4:Q19" xr:uid="{00000000-0009-0000-0000-000000000000}">
    <sortState xmlns:xlrd2="http://schemas.microsoft.com/office/spreadsheetml/2017/richdata2" ref="A5:Q11">
      <sortCondition ref="C4:C11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1990E-7811-45AA-BFDA-30A3322D3BAC}">
  <sheetPr>
    <pageSetUpPr fitToPage="1"/>
  </sheetPr>
  <dimension ref="A2:Q40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G14" sqref="G14"/>
    </sheetView>
  </sheetViews>
  <sheetFormatPr baseColWidth="10" defaultColWidth="11.453125" defaultRowHeight="14.5" x14ac:dyDescent="0.35"/>
  <cols>
    <col min="1" max="1" width="5.81640625" customWidth="1"/>
    <col min="2" max="2" width="35.8164062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s="17" customFormat="1" ht="15" customHeight="1" x14ac:dyDescent="0.35">
      <c r="A5" s="11">
        <v>1</v>
      </c>
      <c r="B5" s="23" t="s">
        <v>25</v>
      </c>
      <c r="C5" s="21">
        <v>45874</v>
      </c>
      <c r="D5" s="33">
        <v>2000</v>
      </c>
      <c r="E5" s="33">
        <v>1000</v>
      </c>
      <c r="F5" s="33">
        <v>1000</v>
      </c>
      <c r="G5" s="33">
        <f>936+559+600+306</f>
        <v>2401</v>
      </c>
      <c r="H5" s="16">
        <f t="shared" ref="H5:H15" si="0">G5*0.5</f>
        <v>1200.5</v>
      </c>
      <c r="I5" s="9">
        <f>+G5+D5</f>
        <v>4401</v>
      </c>
      <c r="J5" s="9">
        <v>3500</v>
      </c>
      <c r="K5" s="9"/>
      <c r="L5" s="9"/>
      <c r="M5" s="24"/>
      <c r="N5" s="24"/>
      <c r="O5" s="24"/>
      <c r="P5" s="24"/>
      <c r="Q5" s="24"/>
    </row>
    <row r="6" spans="1:17" s="17" customFormat="1" ht="15" customHeight="1" x14ac:dyDescent="0.35">
      <c r="A6" s="11">
        <v>2</v>
      </c>
      <c r="B6" s="36" t="s">
        <v>31</v>
      </c>
      <c r="C6" s="37">
        <v>45873</v>
      </c>
      <c r="D6" s="38">
        <v>2000</v>
      </c>
      <c r="E6" s="38">
        <v>2000</v>
      </c>
      <c r="F6" s="38"/>
      <c r="G6" s="38">
        <f>7797+5886+990+1503+1850+7700+925</f>
        <v>26651</v>
      </c>
      <c r="H6" s="38">
        <f>G6*1</f>
        <v>26651</v>
      </c>
      <c r="I6" s="38">
        <f t="shared" ref="I6" si="1">+D6-E6+G6</f>
        <v>26651</v>
      </c>
      <c r="J6" s="38"/>
      <c r="K6" s="38">
        <f>+I6</f>
        <v>26651</v>
      </c>
      <c r="L6" s="38"/>
      <c r="M6" s="24"/>
      <c r="N6" s="24"/>
      <c r="O6" s="24"/>
      <c r="P6" s="24"/>
      <c r="Q6" s="24"/>
    </row>
    <row r="7" spans="1:17" s="17" customFormat="1" ht="15" customHeight="1" x14ac:dyDescent="0.35">
      <c r="A7" s="11">
        <v>3</v>
      </c>
      <c r="B7" s="23" t="s">
        <v>33</v>
      </c>
      <c r="C7" s="21">
        <v>45878</v>
      </c>
      <c r="D7" s="33">
        <v>2400</v>
      </c>
      <c r="E7" s="33">
        <v>1200</v>
      </c>
      <c r="F7" s="33">
        <v>1200</v>
      </c>
      <c r="G7" s="33">
        <v>3200</v>
      </c>
      <c r="H7" s="16">
        <f t="shared" si="0"/>
        <v>1600</v>
      </c>
      <c r="I7" s="9">
        <f>+G7+D7</f>
        <v>5600</v>
      </c>
      <c r="J7" s="9">
        <v>3500</v>
      </c>
      <c r="K7" s="9"/>
      <c r="L7" s="9"/>
      <c r="M7" s="24"/>
      <c r="N7" s="24"/>
      <c r="O7" s="24"/>
      <c r="P7" s="24"/>
      <c r="Q7" s="24"/>
    </row>
    <row r="8" spans="1:17" s="17" customFormat="1" ht="15" customHeight="1" x14ac:dyDescent="0.35">
      <c r="A8" s="11">
        <v>4</v>
      </c>
      <c r="B8" s="23" t="s">
        <v>26</v>
      </c>
      <c r="C8" s="21">
        <v>45890</v>
      </c>
      <c r="D8" s="33">
        <f>5500+6000</f>
        <v>11500</v>
      </c>
      <c r="E8" s="33">
        <v>5750</v>
      </c>
      <c r="F8" s="33">
        <v>5750</v>
      </c>
      <c r="G8" s="33">
        <v>229</v>
      </c>
      <c r="H8" s="16">
        <f>G8*1</f>
        <v>229</v>
      </c>
      <c r="I8" s="9">
        <f>+D8+G8</f>
        <v>11729</v>
      </c>
      <c r="J8" s="9">
        <f>+I8*0.5</f>
        <v>5864.5</v>
      </c>
      <c r="K8" s="9"/>
      <c r="L8" s="9"/>
      <c r="M8" s="24"/>
      <c r="N8" s="24"/>
      <c r="O8" s="24"/>
      <c r="P8" s="24"/>
      <c r="Q8" s="24"/>
    </row>
    <row r="9" spans="1:17" s="17" customFormat="1" ht="15" customHeight="1" x14ac:dyDescent="0.35">
      <c r="A9" s="11">
        <v>5</v>
      </c>
      <c r="B9" s="23" t="s">
        <v>27</v>
      </c>
      <c r="C9" s="21">
        <v>45896</v>
      </c>
      <c r="D9" s="33">
        <f>2000+2000</f>
        <v>4000</v>
      </c>
      <c r="E9" s="33">
        <v>2000</v>
      </c>
      <c r="F9" s="33">
        <v>2000</v>
      </c>
      <c r="G9" s="33">
        <f>(539+202)+(131)</f>
        <v>872</v>
      </c>
      <c r="H9" s="16">
        <f t="shared" si="0"/>
        <v>436</v>
      </c>
      <c r="I9" s="9">
        <f>+G9+D9</f>
        <v>4872</v>
      </c>
      <c r="J9" s="9">
        <v>3500</v>
      </c>
      <c r="K9" s="9"/>
      <c r="L9" s="9"/>
      <c r="M9" s="24"/>
      <c r="N9" s="25"/>
      <c r="O9" s="24"/>
      <c r="P9" s="24"/>
      <c r="Q9" s="24"/>
    </row>
    <row r="10" spans="1:17" s="17" customFormat="1" ht="15" customHeight="1" x14ac:dyDescent="0.35">
      <c r="A10" s="11">
        <v>6</v>
      </c>
      <c r="B10" s="23" t="s">
        <v>28</v>
      </c>
      <c r="C10" s="21">
        <v>45904</v>
      </c>
      <c r="D10" s="33">
        <f>2000+2000</f>
        <v>4000</v>
      </c>
      <c r="E10" s="33">
        <f>+D10-F10</f>
        <v>2000</v>
      </c>
      <c r="F10" s="33">
        <f>+D10*0.5</f>
        <v>2000</v>
      </c>
      <c r="G10" s="33">
        <f>+(545+578)+(166)</f>
        <v>1289</v>
      </c>
      <c r="H10" s="16">
        <f t="shared" si="0"/>
        <v>644.5</v>
      </c>
      <c r="I10" s="9">
        <f>+G10+D10</f>
        <v>5289</v>
      </c>
      <c r="J10" s="9">
        <v>3500</v>
      </c>
      <c r="K10" s="9"/>
      <c r="L10" s="9"/>
      <c r="M10" s="24"/>
      <c r="N10" s="24"/>
      <c r="O10" s="24"/>
      <c r="P10" s="24"/>
      <c r="Q10" s="24"/>
    </row>
    <row r="11" spans="1:17" s="17" customFormat="1" ht="15" customHeight="1" x14ac:dyDescent="0.35">
      <c r="A11" s="11">
        <v>7</v>
      </c>
      <c r="B11" s="36" t="s">
        <v>36</v>
      </c>
      <c r="C11" s="37">
        <v>45894</v>
      </c>
      <c r="D11" s="38">
        <v>500</v>
      </c>
      <c r="E11" s="38">
        <v>500</v>
      </c>
      <c r="F11" s="38"/>
      <c r="G11" s="38"/>
      <c r="H11" s="38">
        <f t="shared" si="0"/>
        <v>0</v>
      </c>
      <c r="I11" s="38">
        <f t="shared" ref="I11:I15" si="2">+D11-E11+G11</f>
        <v>0</v>
      </c>
      <c r="J11" s="38">
        <f>+I11*0.5</f>
        <v>0</v>
      </c>
      <c r="K11" s="38">
        <f>+I11</f>
        <v>0</v>
      </c>
      <c r="L11" s="38"/>
      <c r="M11" s="24"/>
      <c r="N11" s="24"/>
      <c r="O11" s="24"/>
      <c r="P11" s="24"/>
      <c r="Q11" s="24"/>
    </row>
    <row r="12" spans="1:17" ht="15" customHeight="1" x14ac:dyDescent="0.35">
      <c r="A12" s="11">
        <v>8</v>
      </c>
      <c r="B12" s="23" t="s">
        <v>29</v>
      </c>
      <c r="C12" s="21">
        <v>45894</v>
      </c>
      <c r="D12" s="33">
        <v>2000</v>
      </c>
      <c r="E12" s="33">
        <v>1000</v>
      </c>
      <c r="F12" s="33">
        <v>1000</v>
      </c>
      <c r="G12" s="33">
        <f>828+29+528+520</f>
        <v>1905</v>
      </c>
      <c r="H12" s="16">
        <f t="shared" si="0"/>
        <v>952.5</v>
      </c>
      <c r="I12" s="9">
        <f>+G12+D12</f>
        <v>3905</v>
      </c>
      <c r="J12" s="9">
        <v>3500</v>
      </c>
      <c r="K12" s="9"/>
      <c r="L12" s="9"/>
      <c r="M12" s="24"/>
      <c r="N12" s="24"/>
      <c r="O12" s="24"/>
      <c r="P12" s="24"/>
      <c r="Q12" s="24"/>
    </row>
    <row r="13" spans="1:17" ht="15" customHeight="1" x14ac:dyDescent="0.35">
      <c r="A13" s="11">
        <v>9</v>
      </c>
      <c r="B13" s="23" t="s">
        <v>30</v>
      </c>
      <c r="C13" s="21">
        <v>45903</v>
      </c>
      <c r="D13" s="33">
        <v>2500</v>
      </c>
      <c r="E13" s="33">
        <v>1250</v>
      </c>
      <c r="F13" s="33">
        <v>1250</v>
      </c>
      <c r="G13" s="33">
        <f>1302+13.5+100+165.5</f>
        <v>1581</v>
      </c>
      <c r="H13" s="16">
        <f t="shared" si="0"/>
        <v>790.5</v>
      </c>
      <c r="I13" s="9">
        <f>+G13+D13</f>
        <v>4081</v>
      </c>
      <c r="J13" s="9">
        <v>3500</v>
      </c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>
        <v>10</v>
      </c>
      <c r="B14" s="23" t="s">
        <v>32</v>
      </c>
      <c r="C14" s="21">
        <v>45892</v>
      </c>
      <c r="D14" s="33">
        <f>1500+1000</f>
        <v>2500</v>
      </c>
      <c r="E14" s="33">
        <v>1250</v>
      </c>
      <c r="F14" s="33">
        <v>1250</v>
      </c>
      <c r="G14" s="33">
        <f>+(0)+(522)</f>
        <v>522</v>
      </c>
      <c r="H14" s="16">
        <f t="shared" si="0"/>
        <v>261</v>
      </c>
      <c r="I14" s="9">
        <f>+G14+D14</f>
        <v>3022</v>
      </c>
      <c r="J14" s="9">
        <v>3500</v>
      </c>
      <c r="K14" s="9"/>
      <c r="L14" s="9"/>
      <c r="M14" s="24"/>
      <c r="N14" s="24"/>
      <c r="O14" s="24"/>
      <c r="P14" s="24"/>
      <c r="Q14" s="24"/>
    </row>
    <row r="15" spans="1:17" ht="15" customHeight="1" x14ac:dyDescent="0.35">
      <c r="A15" s="11">
        <v>12</v>
      </c>
      <c r="B15" s="36" t="s">
        <v>34</v>
      </c>
      <c r="C15" s="37">
        <v>45882</v>
      </c>
      <c r="D15" s="38">
        <f>1200+2000+500</f>
        <v>3700</v>
      </c>
      <c r="E15" s="38">
        <v>3700</v>
      </c>
      <c r="F15" s="38"/>
      <c r="G15" s="38"/>
      <c r="H15" s="38">
        <f t="shared" si="0"/>
        <v>0</v>
      </c>
      <c r="I15" s="38">
        <f t="shared" si="2"/>
        <v>0</v>
      </c>
      <c r="J15" s="38">
        <f t="shared" ref="J15" si="3">+I15*0.7</f>
        <v>0</v>
      </c>
      <c r="K15" s="38">
        <f>+I15</f>
        <v>0</v>
      </c>
      <c r="L15" s="38"/>
      <c r="M15" s="24"/>
      <c r="N15" s="24"/>
      <c r="O15" s="24"/>
      <c r="P15" s="24"/>
      <c r="Q15" s="24"/>
    </row>
    <row r="16" spans="1:17" ht="15" customHeight="1" x14ac:dyDescent="0.35">
      <c r="A16" s="11">
        <v>13</v>
      </c>
      <c r="B16" s="23"/>
      <c r="C16" s="21"/>
      <c r="D16" s="8"/>
      <c r="E16" s="33"/>
      <c r="F16" s="33"/>
      <c r="G16" s="33"/>
      <c r="H16" s="16"/>
      <c r="I16" s="9"/>
      <c r="J16" s="9"/>
      <c r="K16" s="9"/>
      <c r="L16" s="9"/>
      <c r="M16" s="24"/>
      <c r="N16" s="24"/>
      <c r="O16" s="24"/>
      <c r="P16" s="24"/>
      <c r="Q16" s="24"/>
    </row>
    <row r="17" spans="1:17" ht="15" customHeight="1" x14ac:dyDescent="0.35">
      <c r="A17" s="11">
        <v>14</v>
      </c>
      <c r="B17" s="23"/>
      <c r="C17" s="21"/>
      <c r="D17" s="8"/>
      <c r="E17" s="33"/>
      <c r="F17" s="33"/>
      <c r="G17" s="16"/>
      <c r="H17" s="16"/>
      <c r="I17" s="9"/>
      <c r="J17" s="9"/>
      <c r="K17" s="9"/>
      <c r="L17" s="9"/>
      <c r="M17" s="24"/>
      <c r="N17" s="24"/>
      <c r="O17" s="24"/>
      <c r="P17" s="24"/>
      <c r="Q17" s="24"/>
    </row>
    <row r="18" spans="1:17" ht="15" customHeight="1" thickBot="1" x14ac:dyDescent="0.4">
      <c r="B18" s="19" t="s">
        <v>12</v>
      </c>
      <c r="C18" s="18"/>
      <c r="D18" s="22">
        <f>SUM(D5:D15)</f>
        <v>37100</v>
      </c>
      <c r="E18" s="22">
        <f t="shared" ref="E18:K18" si="4">SUM(E5:E17)</f>
        <v>21650</v>
      </c>
      <c r="F18" s="22">
        <f t="shared" si="4"/>
        <v>15450</v>
      </c>
      <c r="G18" s="22">
        <f t="shared" si="4"/>
        <v>38650</v>
      </c>
      <c r="H18" s="22">
        <f t="shared" si="4"/>
        <v>32765</v>
      </c>
      <c r="I18" s="22">
        <f t="shared" si="4"/>
        <v>69550</v>
      </c>
      <c r="J18" s="22">
        <f t="shared" si="4"/>
        <v>30364.5</v>
      </c>
      <c r="K18" s="22">
        <f t="shared" si="4"/>
        <v>26651</v>
      </c>
      <c r="L18" s="22">
        <f>SUM(L5:L17)</f>
        <v>0</v>
      </c>
      <c r="M18" s="20"/>
      <c r="N18" s="20"/>
      <c r="O18" s="20"/>
      <c r="P18" s="20"/>
      <c r="Q18" s="20"/>
    </row>
    <row r="19" spans="1:17" ht="15" customHeight="1" thickTop="1" x14ac:dyDescent="0.35"/>
    <row r="20" spans="1:17" ht="15" customHeight="1" x14ac:dyDescent="0.35"/>
    <row r="21" spans="1:17" ht="15" customHeight="1" x14ac:dyDescent="0.35"/>
    <row r="22" spans="1:17" ht="15" customHeight="1" x14ac:dyDescent="0.35"/>
    <row r="23" spans="1:17" ht="15" customHeight="1" x14ac:dyDescent="0.35">
      <c r="B23" s="12"/>
      <c r="C23"/>
      <c r="D23" s="6"/>
      <c r="E23" s="6"/>
      <c r="F23" s="6"/>
      <c r="G23" s="1"/>
      <c r="H23" s="1"/>
      <c r="I23" s="1"/>
      <c r="J23" s="1"/>
    </row>
    <row r="24" spans="1:17" ht="15" customHeight="1" x14ac:dyDescent="0.35">
      <c r="B24" s="5"/>
      <c r="C24"/>
      <c r="D24" s="6"/>
      <c r="E24" s="6"/>
      <c r="F24" s="6"/>
      <c r="G24" s="1"/>
      <c r="H24" s="1"/>
      <c r="I24" s="1"/>
      <c r="J24" s="1"/>
    </row>
    <row r="25" spans="1:17" ht="15" customHeight="1" x14ac:dyDescent="0.35">
      <c r="B25" s="5"/>
      <c r="C25"/>
      <c r="D25" s="6"/>
      <c r="E25" s="6"/>
      <c r="F25" s="6"/>
      <c r="G25" s="1"/>
      <c r="H25" s="1"/>
      <c r="I25" s="1"/>
      <c r="J25" s="1"/>
    </row>
    <row r="26" spans="1:17" ht="15" customHeight="1" x14ac:dyDescent="0.35">
      <c r="B26" s="5"/>
      <c r="C26"/>
      <c r="D26" s="10"/>
      <c r="E26" s="10"/>
      <c r="F26" s="10"/>
      <c r="G26" s="1"/>
      <c r="H26" s="1"/>
      <c r="I26" s="1"/>
      <c r="J26" s="1"/>
    </row>
    <row r="27" spans="1:17" ht="15" customHeight="1" x14ac:dyDescent="0.35">
      <c r="A27" s="20"/>
      <c r="B27" s="5"/>
      <c r="C27"/>
      <c r="D27" s="10"/>
      <c r="E27" s="10"/>
      <c r="F27" s="10"/>
      <c r="G27" s="1"/>
      <c r="H27" s="1"/>
      <c r="I27" s="1"/>
      <c r="J27" s="1"/>
      <c r="K27" s="20"/>
    </row>
    <row r="28" spans="1:17" ht="15" customHeight="1" x14ac:dyDescent="0.35">
      <c r="A28" s="20"/>
      <c r="B28" s="5"/>
      <c r="K28" s="20"/>
    </row>
    <row r="29" spans="1:17" ht="15" customHeight="1" x14ac:dyDescent="0.35">
      <c r="K29" s="1"/>
    </row>
    <row r="30" spans="1:17" ht="15" customHeight="1" x14ac:dyDescent="0.35">
      <c r="K30" s="1"/>
    </row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</sheetData>
  <autoFilter ref="A4:Q18" xr:uid="{00000000-0009-0000-0000-000000000000}">
    <sortState xmlns:xlrd2="http://schemas.microsoft.com/office/spreadsheetml/2017/richdata2" ref="A5:Q11">
      <sortCondition ref="C4:C11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11C4-FBDD-4A8B-97F8-40603D96DBA0}">
  <sheetPr>
    <pageSetUpPr fitToPage="1"/>
  </sheetPr>
  <dimension ref="A2:Q41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B10" sqref="B10:J10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s="17" customFormat="1" ht="15" customHeight="1" x14ac:dyDescent="0.35">
      <c r="A5" s="11">
        <v>1</v>
      </c>
      <c r="B5" s="23" t="s">
        <v>52</v>
      </c>
      <c r="C5" s="21">
        <v>45925</v>
      </c>
      <c r="D5" s="33">
        <f>2500+2500</f>
        <v>5000</v>
      </c>
      <c r="E5" s="33">
        <v>2500</v>
      </c>
      <c r="F5" s="33">
        <f>+D5*0.5</f>
        <v>2500</v>
      </c>
      <c r="G5" s="33">
        <v>0</v>
      </c>
      <c r="H5" s="16"/>
      <c r="I5" s="9">
        <f t="shared" ref="I5" si="0">+D5-E5+G5</f>
        <v>2500</v>
      </c>
      <c r="J5" s="9">
        <v>3500</v>
      </c>
      <c r="K5" s="9"/>
      <c r="L5" s="9"/>
      <c r="M5" s="24"/>
      <c r="N5" s="24"/>
      <c r="O5" s="24"/>
      <c r="P5" s="24"/>
      <c r="Q5" s="24"/>
    </row>
    <row r="6" spans="1:17" s="17" customFormat="1" ht="15" customHeight="1" x14ac:dyDescent="0.35">
      <c r="A6" s="11">
        <v>2</v>
      </c>
      <c r="B6" s="36" t="s">
        <v>39</v>
      </c>
      <c r="C6" s="37">
        <v>45912</v>
      </c>
      <c r="D6" s="38">
        <v>2000</v>
      </c>
      <c r="E6" s="38">
        <v>2000</v>
      </c>
      <c r="F6" s="38"/>
      <c r="G6" s="38">
        <v>25144.85</v>
      </c>
      <c r="H6" s="38">
        <v>25144.85</v>
      </c>
      <c r="I6" s="38">
        <f t="shared" ref="I6" si="1">+D6-E6+G6</f>
        <v>25144.85</v>
      </c>
      <c r="J6" s="38"/>
      <c r="K6" s="38">
        <f>+I6</f>
        <v>25144.85</v>
      </c>
      <c r="L6" s="38"/>
      <c r="M6" s="24"/>
      <c r="N6" s="24"/>
      <c r="O6" s="24"/>
      <c r="P6" s="24"/>
      <c r="Q6" s="24"/>
    </row>
    <row r="7" spans="1:17" s="35" customFormat="1" ht="15" customHeight="1" x14ac:dyDescent="0.35">
      <c r="A7" s="11">
        <v>3</v>
      </c>
      <c r="B7" s="23" t="s">
        <v>37</v>
      </c>
      <c r="C7" s="21">
        <v>45932</v>
      </c>
      <c r="D7" s="33">
        <f>2000+2000</f>
        <v>4000</v>
      </c>
      <c r="E7" s="33">
        <f>+D7*0.5</f>
        <v>2000</v>
      </c>
      <c r="F7" s="33">
        <f>+D7*0.5</f>
        <v>2000</v>
      </c>
      <c r="G7" s="33">
        <v>2288.38</v>
      </c>
      <c r="H7" s="16">
        <f>+G7/2</f>
        <v>1144.19</v>
      </c>
      <c r="I7" s="9">
        <f>+G7+D7</f>
        <v>6288.38</v>
      </c>
      <c r="J7" s="9">
        <v>3500</v>
      </c>
      <c r="K7" s="9"/>
      <c r="L7" s="9"/>
      <c r="M7" s="24"/>
      <c r="N7" s="24"/>
      <c r="O7" s="24"/>
      <c r="P7" s="24"/>
      <c r="Q7" s="24"/>
    </row>
    <row r="8" spans="1:17" s="17" customFormat="1" ht="15" customHeight="1" x14ac:dyDescent="0.35">
      <c r="A8" s="11">
        <v>4</v>
      </c>
      <c r="B8" s="36" t="s">
        <v>40</v>
      </c>
      <c r="C8" s="37">
        <v>45928</v>
      </c>
      <c r="D8" s="38">
        <v>2000</v>
      </c>
      <c r="E8" s="38">
        <v>2000</v>
      </c>
      <c r="F8" s="38"/>
      <c r="G8" s="38">
        <f>24651.66+802.64</f>
        <v>25454.3</v>
      </c>
      <c r="H8" s="38">
        <v>25454.3</v>
      </c>
      <c r="I8" s="38">
        <f>+G8</f>
        <v>25454.3</v>
      </c>
      <c r="J8" s="38"/>
      <c r="K8" s="38">
        <f>+I8</f>
        <v>25454.3</v>
      </c>
      <c r="L8" s="38"/>
      <c r="M8" s="24"/>
      <c r="N8" s="24"/>
      <c r="O8" s="24"/>
      <c r="P8" s="24"/>
      <c r="Q8" s="24"/>
    </row>
    <row r="9" spans="1:17" s="17" customFormat="1" ht="15" customHeight="1" x14ac:dyDescent="0.35">
      <c r="A9" s="11">
        <v>5</v>
      </c>
      <c r="B9" s="23" t="s">
        <v>38</v>
      </c>
      <c r="C9" s="21">
        <v>45926</v>
      </c>
      <c r="D9" s="33">
        <v>2000</v>
      </c>
      <c r="E9" s="33">
        <f>+D9*0.5</f>
        <v>1000</v>
      </c>
      <c r="F9" s="33">
        <f>+D9*0.5</f>
        <v>1000</v>
      </c>
      <c r="G9" s="33">
        <v>405</v>
      </c>
      <c r="H9" s="16">
        <f>+G9/2</f>
        <v>202.5</v>
      </c>
      <c r="I9" s="9">
        <f>+D9+G9</f>
        <v>2405</v>
      </c>
      <c r="J9" s="9">
        <v>3500</v>
      </c>
      <c r="K9" s="9"/>
      <c r="L9" s="9"/>
      <c r="M9" s="24"/>
      <c r="N9" s="25"/>
      <c r="O9" s="24"/>
      <c r="P9" s="24"/>
      <c r="Q9" s="24"/>
    </row>
    <row r="10" spans="1:17" s="17" customFormat="1" ht="15" customHeight="1" x14ac:dyDescent="0.35">
      <c r="A10" s="11">
        <v>6</v>
      </c>
      <c r="B10" s="23" t="s">
        <v>51</v>
      </c>
      <c r="C10" s="21">
        <v>45928</v>
      </c>
      <c r="D10" s="33">
        <f>6252+400</f>
        <v>6652</v>
      </c>
      <c r="E10" s="33">
        <f>+D10*0.5</f>
        <v>3326</v>
      </c>
      <c r="F10" s="33">
        <f>+D10*0.5</f>
        <v>3326</v>
      </c>
      <c r="G10" s="33">
        <v>0</v>
      </c>
      <c r="H10" s="16"/>
      <c r="I10" s="9">
        <f>+G10+D10</f>
        <v>6652</v>
      </c>
      <c r="J10" s="9">
        <v>3500</v>
      </c>
      <c r="K10" s="9"/>
      <c r="L10" s="9"/>
      <c r="M10" s="30"/>
      <c r="N10" s="30"/>
      <c r="O10" s="30"/>
      <c r="P10" s="30"/>
      <c r="Q10" s="30"/>
    </row>
    <row r="11" spans="1:17" ht="15" customHeight="1" x14ac:dyDescent="0.35">
      <c r="A11" s="11"/>
      <c r="B11" s="26"/>
      <c r="C11" s="27"/>
      <c r="D11" s="32"/>
      <c r="E11" s="32"/>
      <c r="F11" s="32"/>
      <c r="G11" s="32"/>
      <c r="H11" s="29"/>
      <c r="I11" s="28"/>
      <c r="J11" s="28"/>
      <c r="K11" s="28"/>
      <c r="L11" s="9"/>
      <c r="M11" s="30"/>
      <c r="N11" s="30"/>
      <c r="O11" s="30"/>
      <c r="P11" s="30"/>
      <c r="Q11" s="30"/>
    </row>
    <row r="12" spans="1:17" ht="15" customHeight="1" x14ac:dyDescent="0.35">
      <c r="A12" s="11"/>
      <c r="B12" s="26"/>
      <c r="C12" s="27"/>
      <c r="D12" s="32"/>
      <c r="E12" s="32"/>
      <c r="F12" s="32"/>
      <c r="G12" s="32"/>
      <c r="H12" s="29"/>
      <c r="I12" s="28"/>
      <c r="J12" s="28"/>
      <c r="K12" s="28"/>
      <c r="L12" s="9"/>
      <c r="M12" s="30"/>
      <c r="N12" s="30"/>
      <c r="O12" s="30"/>
      <c r="P12" s="30"/>
      <c r="Q12" s="30"/>
    </row>
    <row r="13" spans="1:17" ht="15" customHeight="1" x14ac:dyDescent="0.35">
      <c r="A13" s="11"/>
      <c r="B13" s="26"/>
      <c r="C13" s="27"/>
      <c r="D13" s="32"/>
      <c r="E13" s="32"/>
      <c r="F13" s="32"/>
      <c r="G13" s="32"/>
      <c r="H13" s="29"/>
      <c r="I13" s="28"/>
      <c r="J13" s="28"/>
      <c r="K13" s="28"/>
      <c r="L13" s="9"/>
      <c r="M13" s="30"/>
      <c r="N13" s="30"/>
      <c r="O13" s="30"/>
      <c r="P13" s="30"/>
      <c r="Q13" s="30"/>
    </row>
    <row r="14" spans="1:17" ht="15" customHeight="1" x14ac:dyDescent="0.35">
      <c r="A14" s="11"/>
      <c r="B14" s="26"/>
      <c r="C14" s="21"/>
      <c r="D14" s="33"/>
      <c r="E14" s="33"/>
      <c r="F14" s="33"/>
      <c r="G14" s="33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x14ac:dyDescent="0.35">
      <c r="A15" s="11"/>
      <c r="B15" s="26"/>
      <c r="C15" s="27"/>
      <c r="D15" s="33"/>
      <c r="E15" s="33"/>
      <c r="F15" s="33"/>
      <c r="G15" s="33"/>
      <c r="H15" s="16"/>
      <c r="I15" s="9"/>
      <c r="J15" s="9"/>
      <c r="K15" s="9"/>
      <c r="L15" s="9"/>
      <c r="M15" s="23"/>
      <c r="N15" s="24"/>
      <c r="O15" s="24"/>
      <c r="P15" s="24"/>
      <c r="Q15" s="24"/>
    </row>
    <row r="16" spans="1:17" ht="15" customHeight="1" x14ac:dyDescent="0.35">
      <c r="A16" s="11"/>
      <c r="B16" s="26"/>
      <c r="C16" s="21"/>
      <c r="D16" s="33"/>
      <c r="E16" s="33"/>
      <c r="F16" s="33"/>
      <c r="G16" s="33"/>
      <c r="H16" s="16"/>
      <c r="I16" s="9"/>
      <c r="J16" s="9"/>
      <c r="K16" s="9"/>
      <c r="L16" s="9"/>
      <c r="M16" s="24"/>
      <c r="N16" s="24"/>
      <c r="O16" s="24"/>
      <c r="P16" s="24"/>
      <c r="Q16" s="24"/>
    </row>
    <row r="17" spans="1:17" ht="15" customHeight="1" x14ac:dyDescent="0.35">
      <c r="A17" s="11"/>
      <c r="B17" s="23"/>
      <c r="C17" s="21"/>
      <c r="D17" s="8"/>
      <c r="E17" s="33"/>
      <c r="F17" s="33"/>
      <c r="G17" s="33"/>
      <c r="H17" s="16"/>
      <c r="I17" s="9"/>
      <c r="J17" s="9"/>
      <c r="K17" s="9"/>
      <c r="L17" s="9"/>
      <c r="M17" s="24"/>
      <c r="N17" s="24"/>
      <c r="O17" s="24"/>
      <c r="P17" s="24"/>
      <c r="Q17" s="24"/>
    </row>
    <row r="18" spans="1:17" ht="15" customHeight="1" x14ac:dyDescent="0.35">
      <c r="A18" s="11"/>
      <c r="B18" s="23"/>
      <c r="C18" s="21"/>
      <c r="D18" s="8"/>
      <c r="E18" s="33"/>
      <c r="F18" s="33"/>
      <c r="G18" s="16"/>
      <c r="H18" s="16"/>
      <c r="I18" s="9"/>
      <c r="J18" s="9"/>
      <c r="K18" s="9"/>
      <c r="L18" s="9"/>
      <c r="M18" s="24"/>
      <c r="N18" s="24"/>
      <c r="O18" s="24"/>
      <c r="P18" s="24"/>
      <c r="Q18" s="24"/>
    </row>
    <row r="19" spans="1:17" ht="15" customHeight="1" thickBot="1" x14ac:dyDescent="0.4">
      <c r="B19" s="19" t="s">
        <v>12</v>
      </c>
      <c r="C19" s="18"/>
      <c r="D19" s="22">
        <f>SUM(D5:D16)</f>
        <v>21652</v>
      </c>
      <c r="E19" s="22">
        <f t="shared" ref="E19:K19" si="2">SUM(E5:E18)</f>
        <v>12826</v>
      </c>
      <c r="F19" s="22">
        <f t="shared" si="2"/>
        <v>8826</v>
      </c>
      <c r="G19" s="22">
        <f t="shared" si="2"/>
        <v>53292.53</v>
      </c>
      <c r="H19" s="22">
        <f t="shared" si="2"/>
        <v>51945.84</v>
      </c>
      <c r="I19" s="22">
        <f t="shared" si="2"/>
        <v>68444.53</v>
      </c>
      <c r="J19" s="22">
        <f t="shared" si="2"/>
        <v>14000</v>
      </c>
      <c r="K19" s="22">
        <f t="shared" si="2"/>
        <v>50599.149999999994</v>
      </c>
      <c r="L19" s="22">
        <f>SUM(L5:L18)</f>
        <v>0</v>
      </c>
      <c r="M19" s="24"/>
      <c r="N19" s="24"/>
      <c r="O19" s="24"/>
      <c r="P19" s="24"/>
      <c r="Q19" s="24"/>
    </row>
    <row r="20" spans="1:17" ht="15" customHeight="1" thickTop="1" x14ac:dyDescent="0.35">
      <c r="M20" s="20"/>
      <c r="N20" s="20"/>
      <c r="O20" s="20"/>
      <c r="P20" s="20"/>
      <c r="Q20" s="20"/>
    </row>
    <row r="21" spans="1:17" ht="15" customHeight="1" x14ac:dyDescent="0.35"/>
    <row r="22" spans="1:17" ht="15" customHeight="1" x14ac:dyDescent="0.35"/>
    <row r="23" spans="1:17" ht="15" customHeight="1" x14ac:dyDescent="0.35"/>
    <row r="24" spans="1:17" ht="15" customHeight="1" x14ac:dyDescent="0.35">
      <c r="B24" s="12"/>
      <c r="C24"/>
      <c r="D24" s="6"/>
      <c r="E24" s="6"/>
      <c r="F24" s="6"/>
      <c r="G24" s="1"/>
      <c r="H24" s="1"/>
      <c r="I24" s="1"/>
      <c r="J24" s="1"/>
    </row>
    <row r="25" spans="1:17" ht="15" customHeight="1" x14ac:dyDescent="0.35">
      <c r="B25" s="5"/>
      <c r="C25"/>
      <c r="D25" s="6"/>
      <c r="E25" s="6"/>
      <c r="F25" s="6"/>
      <c r="G25" s="1"/>
      <c r="H25" s="1"/>
      <c r="I25" s="1"/>
      <c r="J25" s="1"/>
    </row>
    <row r="26" spans="1:17" ht="15" customHeight="1" x14ac:dyDescent="0.35">
      <c r="B26" s="5"/>
      <c r="C26"/>
      <c r="D26" s="6"/>
      <c r="E26" s="6"/>
      <c r="F26" s="6"/>
      <c r="G26" s="1"/>
      <c r="H26" s="1"/>
      <c r="I26" s="1"/>
      <c r="J26" s="1"/>
    </row>
    <row r="27" spans="1:17" ht="15" customHeight="1" x14ac:dyDescent="0.35">
      <c r="B27" s="5"/>
      <c r="C27"/>
      <c r="D27" s="10"/>
      <c r="E27" s="10"/>
      <c r="F27" s="10"/>
      <c r="G27" s="1"/>
      <c r="H27" s="1"/>
      <c r="I27" s="1"/>
      <c r="J27" s="1"/>
    </row>
    <row r="28" spans="1:17" ht="15" customHeight="1" x14ac:dyDescent="0.35">
      <c r="A28" s="20"/>
      <c r="B28" s="5"/>
      <c r="C28"/>
      <c r="D28" s="10"/>
      <c r="E28" s="10"/>
      <c r="F28" s="10"/>
      <c r="G28" s="1"/>
      <c r="H28" s="1"/>
      <c r="I28" s="1"/>
      <c r="J28" s="1"/>
      <c r="K28" s="20"/>
    </row>
    <row r="29" spans="1:17" ht="15" customHeight="1" x14ac:dyDescent="0.35">
      <c r="A29" s="20"/>
      <c r="B29" s="5"/>
      <c r="K29" s="20"/>
    </row>
    <row r="30" spans="1:17" ht="15" customHeight="1" x14ac:dyDescent="0.35">
      <c r="K30" s="1"/>
    </row>
    <row r="31" spans="1:17" ht="15" customHeight="1" x14ac:dyDescent="0.35">
      <c r="K31" s="1"/>
    </row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</sheetData>
  <autoFilter ref="A4:Q19" xr:uid="{00000000-0009-0000-0000-000000000000}">
    <sortState xmlns:xlrd2="http://schemas.microsoft.com/office/spreadsheetml/2017/richdata2" ref="A5:Q11">
      <sortCondition ref="C4:C11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C297-9877-472D-8951-3E941107AE6A}">
  <sheetPr>
    <pageSetUpPr fitToPage="1"/>
  </sheetPr>
  <dimension ref="A2:Q34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B8" sqref="B8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s="17" customFormat="1" ht="15" customHeight="1" x14ac:dyDescent="0.35">
      <c r="A5" s="11">
        <v>1</v>
      </c>
      <c r="B5" s="23" t="s">
        <v>41</v>
      </c>
      <c r="C5" s="21">
        <v>45945</v>
      </c>
      <c r="D5" s="33">
        <v>2500</v>
      </c>
      <c r="E5" s="33">
        <f>+D5*0.5</f>
        <v>1250</v>
      </c>
      <c r="F5" s="33">
        <f>+D5*0.5</f>
        <v>1250</v>
      </c>
      <c r="G5" s="33">
        <v>2118</v>
      </c>
      <c r="H5" s="16">
        <f>+G5*0.5</f>
        <v>1059</v>
      </c>
      <c r="I5" s="9">
        <f>+G5+D5</f>
        <v>4618</v>
      </c>
      <c r="J5" s="9">
        <v>3500</v>
      </c>
      <c r="K5" s="9"/>
      <c r="L5" s="9"/>
      <c r="M5" s="24"/>
      <c r="N5" s="24"/>
      <c r="O5" s="24"/>
      <c r="P5" s="24"/>
      <c r="Q5" s="24"/>
    </row>
    <row r="6" spans="1:17" s="17" customFormat="1" ht="15" customHeight="1" x14ac:dyDescent="0.35">
      <c r="A6" s="11">
        <v>2</v>
      </c>
      <c r="B6" s="23" t="s">
        <v>43</v>
      </c>
      <c r="C6" s="21">
        <v>45960</v>
      </c>
      <c r="D6" s="33">
        <v>2500</v>
      </c>
      <c r="E6" s="33">
        <f>+D6*0.5</f>
        <v>1250</v>
      </c>
      <c r="F6" s="33">
        <f>+D6*0.5</f>
        <v>1250</v>
      </c>
      <c r="G6" s="33">
        <f>1044+29+61+727+67+884+350+600+282+143</f>
        <v>4187</v>
      </c>
      <c r="H6" s="16">
        <f>+G6*0.5</f>
        <v>2093.5</v>
      </c>
      <c r="I6" s="9">
        <f>+G6+D6</f>
        <v>6687</v>
      </c>
      <c r="J6" s="9">
        <v>3500</v>
      </c>
      <c r="K6" s="9"/>
      <c r="L6" s="9"/>
      <c r="M6" s="24"/>
      <c r="N6" s="24"/>
      <c r="O6" s="24"/>
      <c r="P6" s="24"/>
      <c r="Q6" s="24"/>
    </row>
    <row r="7" spans="1:17" ht="15" customHeight="1" x14ac:dyDescent="0.35">
      <c r="A7" s="11">
        <v>3</v>
      </c>
      <c r="B7" s="36" t="s">
        <v>49</v>
      </c>
      <c r="C7" s="37">
        <v>45961</v>
      </c>
      <c r="D7" s="38">
        <v>2000</v>
      </c>
      <c r="E7" s="38">
        <v>2000</v>
      </c>
      <c r="F7" s="38"/>
      <c r="G7" s="38">
        <f>7794+144+394+6102+591+1254+1850+7700+321+422</f>
        <v>26572</v>
      </c>
      <c r="H7" s="38"/>
      <c r="I7" s="38">
        <f>+G7</f>
        <v>26572</v>
      </c>
      <c r="J7" s="38"/>
      <c r="K7" s="38">
        <f>+I7</f>
        <v>26572</v>
      </c>
      <c r="L7" s="38"/>
      <c r="M7" s="24"/>
      <c r="N7" s="24"/>
      <c r="O7" s="24"/>
      <c r="P7" s="24"/>
      <c r="Q7" s="24"/>
    </row>
    <row r="8" spans="1:17" ht="15" customHeight="1" x14ac:dyDescent="0.35">
      <c r="A8" s="11"/>
      <c r="B8" s="26"/>
      <c r="C8" s="27"/>
      <c r="D8" s="33"/>
      <c r="E8" s="33"/>
      <c r="F8" s="33"/>
      <c r="G8" s="33"/>
      <c r="H8" s="16"/>
      <c r="I8" s="9"/>
      <c r="J8" s="9"/>
      <c r="K8" s="9"/>
      <c r="L8" s="9"/>
      <c r="M8" s="23"/>
      <c r="N8" s="24"/>
      <c r="O8" s="24"/>
      <c r="P8" s="24"/>
      <c r="Q8" s="24"/>
    </row>
    <row r="9" spans="1:17" ht="15" customHeight="1" x14ac:dyDescent="0.35">
      <c r="A9" s="11"/>
      <c r="B9" s="26"/>
      <c r="C9" s="21"/>
      <c r="D9" s="33"/>
      <c r="E9" s="33"/>
      <c r="F9" s="33"/>
      <c r="G9" s="33"/>
      <c r="H9" s="16"/>
      <c r="I9" s="9"/>
      <c r="J9" s="9"/>
      <c r="K9" s="9"/>
      <c r="L9" s="9"/>
      <c r="M9" s="24"/>
      <c r="N9" s="24"/>
      <c r="O9" s="24"/>
      <c r="P9" s="24"/>
      <c r="Q9" s="24"/>
    </row>
    <row r="10" spans="1:17" ht="15" customHeight="1" x14ac:dyDescent="0.35">
      <c r="A10" s="11"/>
      <c r="B10" s="23"/>
      <c r="C10" s="21"/>
      <c r="D10" s="8"/>
      <c r="E10" s="33"/>
      <c r="F10" s="33"/>
      <c r="G10" s="33"/>
      <c r="H10" s="16"/>
      <c r="I10" s="9"/>
      <c r="J10" s="9"/>
      <c r="K10" s="9"/>
      <c r="L10" s="9"/>
      <c r="M10" s="24"/>
      <c r="N10" s="24"/>
      <c r="O10" s="24"/>
      <c r="P10" s="24"/>
      <c r="Q10" s="24"/>
    </row>
    <row r="11" spans="1:17" ht="15" customHeight="1" x14ac:dyDescent="0.35">
      <c r="A11" s="11"/>
      <c r="B11" s="23"/>
      <c r="C11" s="21"/>
      <c r="D11" s="8"/>
      <c r="E11" s="33"/>
      <c r="F11" s="33"/>
      <c r="G11" s="16"/>
      <c r="H11" s="16"/>
      <c r="I11" s="9"/>
      <c r="J11" s="9"/>
      <c r="K11" s="9"/>
      <c r="L11" s="9"/>
      <c r="M11" s="24"/>
      <c r="N11" s="24"/>
      <c r="O11" s="24"/>
      <c r="P11" s="24"/>
      <c r="Q11" s="24"/>
    </row>
    <row r="12" spans="1:17" ht="15" customHeight="1" thickBot="1" x14ac:dyDescent="0.4">
      <c r="B12" s="19" t="s">
        <v>12</v>
      </c>
      <c r="C12" s="18"/>
      <c r="D12" s="22">
        <f>SUM(D5:D9)</f>
        <v>7000</v>
      </c>
      <c r="E12" s="22">
        <f t="shared" ref="E12:K12" si="0">SUM(E5:E11)</f>
        <v>4500</v>
      </c>
      <c r="F12" s="22">
        <f t="shared" si="0"/>
        <v>2500</v>
      </c>
      <c r="G12" s="22">
        <f t="shared" si="0"/>
        <v>32877</v>
      </c>
      <c r="H12" s="22">
        <f t="shared" si="0"/>
        <v>3152.5</v>
      </c>
      <c r="I12" s="22">
        <f t="shared" si="0"/>
        <v>37877</v>
      </c>
      <c r="J12" s="22">
        <f t="shared" si="0"/>
        <v>7000</v>
      </c>
      <c r="K12" s="22">
        <f t="shared" si="0"/>
        <v>26572</v>
      </c>
      <c r="L12" s="22">
        <f>SUM(L5:L11)</f>
        <v>0</v>
      </c>
      <c r="M12" s="20"/>
      <c r="N12" s="20"/>
      <c r="O12" s="20"/>
      <c r="P12" s="20"/>
      <c r="Q12" s="20"/>
    </row>
    <row r="13" spans="1:17" ht="15" customHeight="1" thickTop="1" x14ac:dyDescent="0.35"/>
    <row r="14" spans="1:17" ht="15" customHeight="1" x14ac:dyDescent="0.35"/>
    <row r="15" spans="1:17" ht="15" customHeight="1" x14ac:dyDescent="0.35"/>
    <row r="16" spans="1:17" ht="15" customHeight="1" x14ac:dyDescent="0.35"/>
    <row r="17" spans="1:11" ht="15" customHeight="1" x14ac:dyDescent="0.35">
      <c r="B17" s="12"/>
      <c r="C17"/>
      <c r="D17" s="6"/>
      <c r="E17" s="6"/>
      <c r="F17" s="6"/>
      <c r="G17" s="1"/>
      <c r="H17" s="1"/>
      <c r="I17" s="1"/>
      <c r="J17" s="1"/>
    </row>
    <row r="18" spans="1:11" ht="15" customHeight="1" x14ac:dyDescent="0.35">
      <c r="B18" s="5"/>
      <c r="C18"/>
      <c r="D18" s="6"/>
      <c r="E18" s="6"/>
      <c r="F18" s="6"/>
      <c r="G18" s="1"/>
      <c r="H18" s="1"/>
      <c r="I18" s="1"/>
      <c r="J18" s="1"/>
    </row>
    <row r="19" spans="1:11" ht="15" customHeight="1" x14ac:dyDescent="0.35">
      <c r="B19" s="5"/>
      <c r="C19"/>
      <c r="D19" s="6"/>
      <c r="E19" s="6"/>
      <c r="F19" s="6"/>
      <c r="G19" s="1"/>
      <c r="H19" s="1"/>
      <c r="I19" s="1"/>
      <c r="J19" s="1"/>
    </row>
    <row r="20" spans="1:11" ht="15" customHeight="1" x14ac:dyDescent="0.35">
      <c r="B20" s="5"/>
      <c r="C20"/>
      <c r="D20" s="10"/>
      <c r="E20" s="10"/>
      <c r="F20" s="10"/>
      <c r="G20" s="1"/>
      <c r="H20" s="1"/>
      <c r="I20" s="1"/>
      <c r="J20" s="1"/>
    </row>
    <row r="21" spans="1:11" ht="15" customHeight="1" x14ac:dyDescent="0.35">
      <c r="A21" s="20"/>
      <c r="B21" s="5"/>
      <c r="C21"/>
      <c r="D21" s="10"/>
      <c r="E21" s="10"/>
      <c r="F21" s="10"/>
      <c r="G21" s="1"/>
      <c r="H21" s="1"/>
      <c r="I21" s="1"/>
      <c r="J21" s="1"/>
      <c r="K21" s="20"/>
    </row>
    <row r="22" spans="1:11" ht="15" customHeight="1" x14ac:dyDescent="0.35">
      <c r="A22" s="20"/>
      <c r="B22" s="5"/>
      <c r="K22" s="20"/>
    </row>
    <row r="23" spans="1:11" ht="15" customHeight="1" x14ac:dyDescent="0.35">
      <c r="K23" s="1"/>
    </row>
    <row r="24" spans="1:11" ht="15" customHeight="1" x14ac:dyDescent="0.35">
      <c r="K24" s="1"/>
    </row>
    <row r="27" spans="1:11" ht="15" customHeight="1" x14ac:dyDescent="0.35"/>
    <row r="28" spans="1:11" ht="15" customHeight="1" x14ac:dyDescent="0.35"/>
    <row r="29" spans="1:11" ht="15" customHeight="1" x14ac:dyDescent="0.35"/>
    <row r="30" spans="1:11" ht="15" customHeight="1" x14ac:dyDescent="0.35"/>
    <row r="31" spans="1:11" ht="15" customHeight="1" x14ac:dyDescent="0.35"/>
    <row r="32" spans="1:11" ht="15" customHeight="1" x14ac:dyDescent="0.35"/>
    <row r="33" ht="15" customHeight="1" x14ac:dyDescent="0.35"/>
    <row r="34" ht="15" customHeight="1" x14ac:dyDescent="0.35"/>
  </sheetData>
  <autoFilter ref="A4:Q12" xr:uid="{00000000-0009-0000-0000-000000000000}">
    <sortState xmlns:xlrd2="http://schemas.microsoft.com/office/spreadsheetml/2017/richdata2" ref="A5:Q6">
      <sortCondition ref="C4:C6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E206-7EEC-4190-B95B-211238BA3E8E}">
  <sheetPr>
    <pageSetUpPr fitToPage="1"/>
  </sheetPr>
  <dimension ref="A2:Q38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B10" sqref="B10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s="17" customFormat="1" ht="15" customHeight="1" x14ac:dyDescent="0.35">
      <c r="A5" s="11">
        <v>1</v>
      </c>
      <c r="B5" s="23" t="s">
        <v>44</v>
      </c>
      <c r="C5" s="21">
        <v>45969</v>
      </c>
      <c r="D5" s="33">
        <v>2500</v>
      </c>
      <c r="E5" s="33">
        <f>+D5*0.5</f>
        <v>1250</v>
      </c>
      <c r="F5" s="33">
        <f>+D5*0.5</f>
        <v>1250</v>
      </c>
      <c r="G5" s="33">
        <f>946+108+230+83+959+1092+1010+1420+300+463</f>
        <v>6611</v>
      </c>
      <c r="H5" s="33">
        <f>+G5*0.5</f>
        <v>3305.5</v>
      </c>
      <c r="I5" s="9">
        <f>+G5+D5</f>
        <v>9111</v>
      </c>
      <c r="J5" s="9">
        <f>+I5*0.5</f>
        <v>4555.5</v>
      </c>
      <c r="K5" s="9"/>
      <c r="L5" s="9"/>
      <c r="M5" s="24"/>
      <c r="N5" s="24"/>
      <c r="O5" s="24"/>
      <c r="P5" s="24"/>
      <c r="Q5" s="24"/>
    </row>
    <row r="6" spans="1:17" s="17" customFormat="1" ht="15" customHeight="1" x14ac:dyDescent="0.35">
      <c r="A6" s="11">
        <v>2</v>
      </c>
      <c r="B6" s="36" t="s">
        <v>48</v>
      </c>
      <c r="C6" s="37">
        <v>45970</v>
      </c>
      <c r="D6" s="38">
        <v>2000</v>
      </c>
      <c r="E6" s="38">
        <v>2000</v>
      </c>
      <c r="F6" s="38"/>
      <c r="G6" s="38">
        <f>7847+6110+311+1723+1850+7700+203+379</f>
        <v>26123</v>
      </c>
      <c r="H6" s="38"/>
      <c r="I6" s="38">
        <f>+G6</f>
        <v>26123</v>
      </c>
      <c r="J6" s="38"/>
      <c r="K6" s="38">
        <f>+I6</f>
        <v>26123</v>
      </c>
      <c r="L6" s="38"/>
      <c r="M6" s="24"/>
      <c r="N6" s="24"/>
      <c r="O6" s="24"/>
      <c r="P6" s="24"/>
      <c r="Q6" s="24"/>
    </row>
    <row r="7" spans="1:17" s="17" customFormat="1" ht="15" customHeight="1" x14ac:dyDescent="0.35">
      <c r="A7" s="11">
        <v>3</v>
      </c>
      <c r="B7" s="23" t="s">
        <v>50</v>
      </c>
      <c r="C7" s="21">
        <v>45970</v>
      </c>
      <c r="D7" s="33">
        <v>2000</v>
      </c>
      <c r="E7" s="33">
        <f>+D7*0.5</f>
        <v>1000</v>
      </c>
      <c r="F7" s="33">
        <f>+D7*0.5</f>
        <v>1000</v>
      </c>
      <c r="G7" s="33">
        <f>996+310+1144+279+150+340</f>
        <v>3219</v>
      </c>
      <c r="H7" s="33">
        <f>+G7*0.5</f>
        <v>1609.5</v>
      </c>
      <c r="I7" s="9">
        <f>+G7+D7</f>
        <v>5219</v>
      </c>
      <c r="J7" s="9">
        <v>3500</v>
      </c>
      <c r="K7" s="9"/>
      <c r="L7" s="9"/>
      <c r="M7" s="24"/>
      <c r="N7" s="24"/>
      <c r="O7" s="24"/>
      <c r="P7" s="24"/>
      <c r="Q7" s="24"/>
    </row>
    <row r="8" spans="1:17" s="17" customFormat="1" ht="15" customHeight="1" x14ac:dyDescent="0.35">
      <c r="A8" s="11">
        <v>4</v>
      </c>
      <c r="B8" s="36" t="s">
        <v>42</v>
      </c>
      <c r="C8" s="37">
        <v>45974</v>
      </c>
      <c r="D8" s="38">
        <v>2000</v>
      </c>
      <c r="E8" s="38">
        <v>2000</v>
      </c>
      <c r="F8" s="38"/>
      <c r="G8" s="38">
        <f>7823+96+405+6043+1216+1275+1850+7700+314</f>
        <v>26722</v>
      </c>
      <c r="H8" s="38"/>
      <c r="I8" s="38">
        <f>+G8</f>
        <v>26722</v>
      </c>
      <c r="J8" s="38"/>
      <c r="K8" s="38">
        <f>+I8</f>
        <v>26722</v>
      </c>
      <c r="L8" s="38"/>
      <c r="M8" s="24"/>
      <c r="N8" s="24"/>
      <c r="O8" s="24"/>
      <c r="P8" s="24"/>
      <c r="Q8" s="24"/>
    </row>
    <row r="9" spans="1:17" ht="15" customHeight="1" x14ac:dyDescent="0.35">
      <c r="A9" s="11">
        <v>5</v>
      </c>
      <c r="B9" s="23" t="s">
        <v>45</v>
      </c>
      <c r="C9" s="21">
        <v>45974</v>
      </c>
      <c r="D9" s="33">
        <v>2500</v>
      </c>
      <c r="E9" s="33">
        <f>+D9*0.5</f>
        <v>1250</v>
      </c>
      <c r="F9" s="33">
        <f>+D9*0.5</f>
        <v>1250</v>
      </c>
      <c r="G9" s="33">
        <f>72+514+240+571+1075+14+100</f>
        <v>2586</v>
      </c>
      <c r="H9" s="16">
        <f>+G9*0.5</f>
        <v>1293</v>
      </c>
      <c r="I9" s="9">
        <f>+G9+D9</f>
        <v>5086</v>
      </c>
      <c r="J9" s="9">
        <v>3500</v>
      </c>
      <c r="K9" s="9"/>
      <c r="L9" s="9"/>
      <c r="M9" s="24"/>
      <c r="N9" s="25"/>
      <c r="O9" s="24"/>
      <c r="P9" s="24"/>
      <c r="Q9" s="24"/>
    </row>
    <row r="10" spans="1:17" ht="15" customHeight="1" x14ac:dyDescent="0.35">
      <c r="A10" s="11">
        <v>6</v>
      </c>
      <c r="B10" s="36" t="s">
        <v>47</v>
      </c>
      <c r="C10" s="37">
        <v>45974</v>
      </c>
      <c r="D10" s="38">
        <f>2000+2000</f>
        <v>4000</v>
      </c>
      <c r="E10" s="38">
        <v>4000</v>
      </c>
      <c r="F10" s="38"/>
      <c r="G10" s="38">
        <f>(7846+5754+311+1291+1850+7700+246)+(1454+297+122)</f>
        <v>26871</v>
      </c>
      <c r="H10" s="38"/>
      <c r="I10" s="38">
        <f>+G10</f>
        <v>26871</v>
      </c>
      <c r="J10" s="38"/>
      <c r="K10" s="38">
        <f>+I10</f>
        <v>26871</v>
      </c>
      <c r="L10" s="38">
        <f>4950+37800</f>
        <v>42750</v>
      </c>
      <c r="M10" s="24"/>
      <c r="N10" s="24"/>
      <c r="O10" s="24"/>
      <c r="P10" s="24"/>
      <c r="Q10" s="24"/>
    </row>
    <row r="11" spans="1:17" ht="15" customHeight="1" x14ac:dyDescent="0.35">
      <c r="A11" s="11">
        <v>7</v>
      </c>
      <c r="B11" s="23" t="s">
        <v>46</v>
      </c>
      <c r="C11" s="21">
        <v>45981</v>
      </c>
      <c r="D11" s="33">
        <v>2000</v>
      </c>
      <c r="E11" s="33">
        <f>+D11*0.5</f>
        <v>1000</v>
      </c>
      <c r="F11" s="33">
        <f>+D11*0.5</f>
        <v>1000</v>
      </c>
      <c r="G11" s="33">
        <f>982+72+314+90+524+1562+350+600+203+311</f>
        <v>5008</v>
      </c>
      <c r="H11" s="16">
        <f>+G11*0.5</f>
        <v>2504</v>
      </c>
      <c r="I11" s="9">
        <f>+G11+D11</f>
        <v>7008</v>
      </c>
      <c r="J11" s="9">
        <f>+I11/2</f>
        <v>3504</v>
      </c>
      <c r="K11" s="9"/>
      <c r="L11" s="9"/>
      <c r="M11" s="24"/>
      <c r="N11" s="24"/>
      <c r="O11" s="24"/>
      <c r="P11" s="24"/>
      <c r="Q11" s="24"/>
    </row>
    <row r="12" spans="1:17" ht="15" customHeight="1" x14ac:dyDescent="0.35">
      <c r="A12" s="11">
        <v>8</v>
      </c>
      <c r="B12" s="36" t="s">
        <v>63</v>
      </c>
      <c r="C12" s="37">
        <v>45987</v>
      </c>
      <c r="D12" s="38">
        <f>2000+2000</f>
        <v>4000</v>
      </c>
      <c r="E12" s="38">
        <v>4000</v>
      </c>
      <c r="F12" s="38"/>
      <c r="G12" s="38">
        <f>(7280+5628+922+815+1850+7700+7700+150+340+340)</f>
        <v>32725</v>
      </c>
      <c r="H12" s="38"/>
      <c r="I12" s="38">
        <f>+G12</f>
        <v>32725</v>
      </c>
      <c r="J12" s="38"/>
      <c r="K12" s="38">
        <f>+I12</f>
        <v>32725</v>
      </c>
      <c r="L12" s="38"/>
      <c r="M12" s="45"/>
      <c r="N12" s="45"/>
      <c r="O12" s="45"/>
      <c r="P12" s="45"/>
      <c r="Q12" s="45"/>
    </row>
    <row r="13" spans="1:17" ht="15" customHeight="1" x14ac:dyDescent="0.35">
      <c r="A13" s="11"/>
      <c r="B13" s="26"/>
      <c r="C13" s="21"/>
      <c r="D13" s="33"/>
      <c r="E13" s="33"/>
      <c r="F13" s="33"/>
      <c r="G13" s="33"/>
      <c r="H13" s="16"/>
      <c r="I13" s="9"/>
      <c r="J13" s="9"/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/>
      <c r="B14" s="23"/>
      <c r="C14" s="21"/>
      <c r="D14" s="8"/>
      <c r="E14" s="33"/>
      <c r="F14" s="33"/>
      <c r="G14" s="33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x14ac:dyDescent="0.35">
      <c r="A15" s="11"/>
      <c r="B15" s="23"/>
      <c r="C15" s="21"/>
      <c r="D15" s="8"/>
      <c r="E15" s="33"/>
      <c r="F15" s="33"/>
      <c r="G15" s="16"/>
      <c r="H15" s="16"/>
      <c r="I15" s="9"/>
      <c r="J15" s="9"/>
      <c r="K15" s="9"/>
      <c r="L15" s="9"/>
      <c r="M15" s="24"/>
      <c r="N15" s="24"/>
      <c r="O15" s="24"/>
      <c r="P15" s="24"/>
      <c r="Q15" s="24"/>
    </row>
    <row r="16" spans="1:17" ht="15" customHeight="1" thickBot="1" x14ac:dyDescent="0.4">
      <c r="B16" s="19" t="s">
        <v>12</v>
      </c>
      <c r="C16" s="18"/>
      <c r="D16" s="22">
        <f>SUM(D5:D13)</f>
        <v>21000</v>
      </c>
      <c r="E16" s="22">
        <f t="shared" ref="E16:L16" si="0">SUM(E5:E15)</f>
        <v>16500</v>
      </c>
      <c r="F16" s="22">
        <f t="shared" si="0"/>
        <v>4500</v>
      </c>
      <c r="G16" s="22">
        <f t="shared" si="0"/>
        <v>129865</v>
      </c>
      <c r="H16" s="22">
        <f t="shared" si="0"/>
        <v>8712</v>
      </c>
      <c r="I16" s="22">
        <f t="shared" si="0"/>
        <v>138865</v>
      </c>
      <c r="J16" s="22">
        <f t="shared" si="0"/>
        <v>15059.5</v>
      </c>
      <c r="K16" s="22">
        <f t="shared" si="0"/>
        <v>112441</v>
      </c>
      <c r="L16" s="22">
        <f t="shared" si="0"/>
        <v>42750</v>
      </c>
      <c r="M16" s="24"/>
      <c r="N16" s="24"/>
      <c r="O16" s="24"/>
      <c r="P16" s="24"/>
      <c r="Q16" s="24"/>
    </row>
    <row r="17" spans="1:17" ht="15" customHeight="1" thickTop="1" x14ac:dyDescent="0.35">
      <c r="M17" s="20"/>
      <c r="N17" s="20"/>
      <c r="O17" s="20"/>
      <c r="P17" s="20"/>
      <c r="Q17" s="20"/>
    </row>
    <row r="18" spans="1:17" ht="15" customHeight="1" x14ac:dyDescent="0.35"/>
    <row r="19" spans="1:17" ht="15" customHeight="1" x14ac:dyDescent="0.35"/>
    <row r="20" spans="1:17" ht="15" customHeight="1" x14ac:dyDescent="0.35"/>
    <row r="21" spans="1:17" ht="15" customHeight="1" x14ac:dyDescent="0.35">
      <c r="B21" s="12"/>
      <c r="C21"/>
      <c r="D21" s="6"/>
      <c r="E21" s="6"/>
      <c r="F21" s="6"/>
      <c r="G21" s="1"/>
      <c r="H21" s="1"/>
      <c r="I21" s="1"/>
      <c r="J21" s="1"/>
    </row>
    <row r="22" spans="1:17" ht="15" customHeight="1" x14ac:dyDescent="0.35">
      <c r="B22" s="5"/>
      <c r="C22"/>
      <c r="D22" s="6"/>
      <c r="E22" s="6"/>
      <c r="F22" s="6"/>
      <c r="G22" s="1"/>
      <c r="H22" s="1"/>
      <c r="I22" s="1"/>
      <c r="J22" s="1"/>
    </row>
    <row r="23" spans="1:17" ht="15" customHeight="1" x14ac:dyDescent="0.35">
      <c r="B23" s="5"/>
      <c r="C23"/>
      <c r="D23" s="6"/>
      <c r="E23" s="6"/>
      <c r="F23" s="6"/>
      <c r="G23" s="1"/>
      <c r="H23" s="1"/>
      <c r="I23" s="1"/>
      <c r="J23" s="1"/>
    </row>
    <row r="24" spans="1:17" ht="15" customHeight="1" x14ac:dyDescent="0.35">
      <c r="B24" s="5"/>
      <c r="C24"/>
      <c r="D24" s="10"/>
      <c r="E24" s="10"/>
      <c r="F24" s="10"/>
      <c r="G24" s="1"/>
      <c r="H24" s="1"/>
      <c r="I24" s="1"/>
      <c r="J24" s="1"/>
    </row>
    <row r="25" spans="1:17" ht="15" customHeight="1" x14ac:dyDescent="0.35">
      <c r="A25" s="20"/>
      <c r="B25" s="5"/>
      <c r="C25"/>
      <c r="D25" s="10"/>
      <c r="E25" s="10"/>
      <c r="F25" s="10"/>
      <c r="G25" s="1"/>
      <c r="H25" s="1"/>
      <c r="I25" s="1"/>
      <c r="J25" s="1"/>
      <c r="K25" s="20"/>
    </row>
    <row r="26" spans="1:17" ht="15" customHeight="1" x14ac:dyDescent="0.35">
      <c r="A26" s="20"/>
      <c r="B26" s="5"/>
      <c r="K26" s="20"/>
    </row>
    <row r="27" spans="1:17" ht="15" customHeight="1" x14ac:dyDescent="0.35">
      <c r="K27" s="1"/>
    </row>
    <row r="28" spans="1:17" ht="15" customHeight="1" x14ac:dyDescent="0.35">
      <c r="K28" s="1"/>
    </row>
    <row r="31" spans="1:17" ht="15" customHeight="1" x14ac:dyDescent="0.35"/>
    <row r="32" spans="1:17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</sheetData>
  <autoFilter ref="A4:Q16" xr:uid="{00000000-0009-0000-0000-000000000000}">
    <sortState xmlns:xlrd2="http://schemas.microsoft.com/office/spreadsheetml/2017/richdata2" ref="A5:Q16">
      <sortCondition ref="C4:C16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2A48D-89A7-431F-9ECD-F677F349D672}">
  <sheetPr>
    <pageSetUpPr fitToPage="1"/>
  </sheetPr>
  <dimension ref="A2:Q37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B9" sqref="B9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s="17" customFormat="1" ht="15" customHeight="1" x14ac:dyDescent="0.35">
      <c r="A5" s="46">
        <v>1</v>
      </c>
      <c r="B5" s="39" t="s">
        <v>59</v>
      </c>
      <c r="C5" s="37">
        <v>46001</v>
      </c>
      <c r="D5" s="38">
        <v>2000</v>
      </c>
      <c r="E5" s="38"/>
      <c r="F5" s="38"/>
      <c r="G5" s="38">
        <f>7763+96+833+5972+312+1512+1850+7700+238+274</f>
        <v>26550</v>
      </c>
      <c r="H5" s="38"/>
      <c r="I5" s="38">
        <f>+G5</f>
        <v>26550</v>
      </c>
      <c r="J5" s="38"/>
      <c r="K5" s="38">
        <f>+I5</f>
        <v>26550</v>
      </c>
      <c r="L5" s="38"/>
      <c r="M5" s="36"/>
      <c r="N5" s="36"/>
      <c r="O5" s="36"/>
      <c r="P5" s="36"/>
      <c r="Q5" s="36"/>
    </row>
    <row r="6" spans="1:17" s="17" customFormat="1" ht="15" customHeight="1" x14ac:dyDescent="0.35">
      <c r="A6" s="11">
        <v>2</v>
      </c>
      <c r="B6" s="26" t="s">
        <v>60</v>
      </c>
      <c r="C6" s="21">
        <v>46002</v>
      </c>
      <c r="D6" s="32">
        <f>2500+2500</f>
        <v>5000</v>
      </c>
      <c r="E6" s="32">
        <f>+D6*0.5</f>
        <v>2500</v>
      </c>
      <c r="F6" s="32">
        <f>+D6*0.5</f>
        <v>2500</v>
      </c>
      <c r="G6" s="32">
        <v>0</v>
      </c>
      <c r="H6" s="29"/>
      <c r="I6" s="28">
        <f>+G6+D6</f>
        <v>5000</v>
      </c>
      <c r="J6" s="28">
        <f>+I6*0.5</f>
        <v>2500</v>
      </c>
      <c r="K6" s="28"/>
      <c r="L6" s="28"/>
      <c r="M6" s="30"/>
      <c r="N6" s="31"/>
      <c r="O6" s="30"/>
      <c r="P6" s="30"/>
      <c r="Q6" s="30"/>
    </row>
    <row r="7" spans="1:17" s="17" customFormat="1" ht="15" customHeight="1" x14ac:dyDescent="0.35">
      <c r="A7" s="11">
        <v>3</v>
      </c>
      <c r="B7" s="26" t="s">
        <v>62</v>
      </c>
      <c r="C7" s="21">
        <v>46004</v>
      </c>
      <c r="D7" s="32">
        <v>2500</v>
      </c>
      <c r="E7" s="32">
        <f>+D7*0.5</f>
        <v>1250</v>
      </c>
      <c r="F7" s="32">
        <f>+D7*0.5</f>
        <v>1250</v>
      </c>
      <c r="G7" s="32">
        <v>0</v>
      </c>
      <c r="H7" s="29"/>
      <c r="I7" s="28">
        <f>+G7+D7</f>
        <v>2500</v>
      </c>
      <c r="J7" s="28">
        <f>+I7*0.5</f>
        <v>1250</v>
      </c>
      <c r="K7" s="28"/>
      <c r="L7" s="28"/>
      <c r="M7" s="30"/>
      <c r="N7" s="31"/>
      <c r="O7" s="30"/>
      <c r="P7" s="30"/>
      <c r="Q7" s="30"/>
    </row>
    <row r="8" spans="1:17" s="17" customFormat="1" ht="15" customHeight="1" x14ac:dyDescent="0.35">
      <c r="A8" s="46">
        <v>4</v>
      </c>
      <c r="B8" s="39" t="s">
        <v>58</v>
      </c>
      <c r="C8" s="37">
        <v>46007</v>
      </c>
      <c r="D8" s="38">
        <v>2000</v>
      </c>
      <c r="E8" s="38"/>
      <c r="F8" s="38"/>
      <c r="G8" s="38">
        <f>+(7245+213+2648+160+1028+1850+770+154+143)+(3746+421+693+7700+88)</f>
        <v>26859</v>
      </c>
      <c r="H8" s="38"/>
      <c r="I8" s="38">
        <f>+G8</f>
        <v>26859</v>
      </c>
      <c r="J8" s="38"/>
      <c r="K8" s="38">
        <f>+I8</f>
        <v>26859</v>
      </c>
      <c r="L8" s="38"/>
      <c r="M8" s="36"/>
      <c r="N8" s="36"/>
      <c r="O8" s="36"/>
      <c r="P8" s="36"/>
      <c r="Q8" s="36"/>
    </row>
    <row r="9" spans="1:17" s="17" customFormat="1" ht="15" customHeight="1" x14ac:dyDescent="0.35">
      <c r="A9" s="11">
        <v>5</v>
      </c>
      <c r="B9" s="26" t="s">
        <v>57</v>
      </c>
      <c r="C9" s="21">
        <v>46008</v>
      </c>
      <c r="D9" s="32">
        <f>1500+1000</f>
        <v>2500</v>
      </c>
      <c r="E9" s="32">
        <f>+D9*0.5</f>
        <v>1250</v>
      </c>
      <c r="F9" s="32">
        <f>+D9*0.5</f>
        <v>1250</v>
      </c>
      <c r="G9" s="32">
        <f>0+0</f>
        <v>0</v>
      </c>
      <c r="H9" s="32"/>
      <c r="I9" s="28">
        <f>+G9+D9</f>
        <v>2500</v>
      </c>
      <c r="J9" s="28">
        <f>+I9*0.5</f>
        <v>1250</v>
      </c>
      <c r="K9" s="9"/>
      <c r="L9" s="9"/>
      <c r="M9" s="24"/>
      <c r="N9" s="24"/>
      <c r="O9" s="24"/>
      <c r="P9" s="24"/>
      <c r="Q9" s="24"/>
    </row>
    <row r="10" spans="1:17" s="17" customFormat="1" ht="15" customHeight="1" x14ac:dyDescent="0.35">
      <c r="A10" s="11">
        <v>6</v>
      </c>
      <c r="B10" s="26" t="s">
        <v>61</v>
      </c>
      <c r="C10" s="21">
        <v>46008</v>
      </c>
      <c r="D10" s="32">
        <f>6464+500</f>
        <v>6964</v>
      </c>
      <c r="E10" s="32">
        <f>+D10*0.5</f>
        <v>3482</v>
      </c>
      <c r="F10" s="32">
        <f>+D10*0.5</f>
        <v>3482</v>
      </c>
      <c r="G10" s="32">
        <v>0</v>
      </c>
      <c r="H10" s="29"/>
      <c r="I10" s="28">
        <f>+G10+D10</f>
        <v>6964</v>
      </c>
      <c r="J10" s="28">
        <f>+I10*0.5</f>
        <v>3482</v>
      </c>
      <c r="K10" s="28"/>
      <c r="L10" s="28"/>
      <c r="M10" s="30"/>
      <c r="N10" s="31"/>
      <c r="O10" s="30"/>
      <c r="P10" s="30"/>
      <c r="Q10" s="30"/>
    </row>
    <row r="11" spans="1:17" s="17" customFormat="1" ht="15" customHeight="1" x14ac:dyDescent="0.35">
      <c r="A11" s="46">
        <v>7</v>
      </c>
      <c r="B11" s="39" t="s">
        <v>64</v>
      </c>
      <c r="C11" s="37">
        <v>46015</v>
      </c>
      <c r="D11" s="38">
        <v>2000</v>
      </c>
      <c r="E11" s="38"/>
      <c r="F11" s="38"/>
      <c r="G11" s="38">
        <v>0</v>
      </c>
      <c r="H11" s="38"/>
      <c r="I11" s="38">
        <f>+G11</f>
        <v>0</v>
      </c>
      <c r="J11" s="38"/>
      <c r="K11" s="38">
        <f>+I11</f>
        <v>0</v>
      </c>
      <c r="L11" s="38"/>
      <c r="M11" s="36"/>
      <c r="N11" s="36"/>
      <c r="O11" s="36"/>
      <c r="P11" s="36"/>
      <c r="Q11" s="36"/>
    </row>
    <row r="12" spans="1:17" ht="15" customHeight="1" x14ac:dyDescent="0.35">
      <c r="A12" s="11"/>
      <c r="B12" s="26"/>
      <c r="C12" s="21"/>
      <c r="D12" s="33"/>
      <c r="E12" s="33"/>
      <c r="F12" s="33"/>
      <c r="G12" s="33"/>
      <c r="H12" s="16"/>
      <c r="I12" s="9"/>
      <c r="J12" s="9"/>
      <c r="K12" s="9"/>
      <c r="L12" s="9"/>
      <c r="M12" s="24"/>
      <c r="N12" s="24"/>
      <c r="O12" s="24"/>
      <c r="P12" s="24"/>
      <c r="Q12" s="24"/>
    </row>
    <row r="13" spans="1:17" ht="15" customHeight="1" x14ac:dyDescent="0.35">
      <c r="A13" s="11"/>
      <c r="B13" s="23"/>
      <c r="C13" s="21"/>
      <c r="D13" s="8"/>
      <c r="E13" s="33"/>
      <c r="F13" s="33"/>
      <c r="G13" s="33"/>
      <c r="H13" s="16"/>
      <c r="I13" s="9"/>
      <c r="J13" s="9"/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/>
      <c r="B14" s="23"/>
      <c r="C14" s="21"/>
      <c r="D14" s="8"/>
      <c r="E14" s="33"/>
      <c r="F14" s="33"/>
      <c r="G14" s="16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thickBot="1" x14ac:dyDescent="0.4">
      <c r="B15" s="19" t="s">
        <v>12</v>
      </c>
      <c r="C15" s="18"/>
      <c r="D15" s="22">
        <f>SUM(D5:D12)</f>
        <v>22964</v>
      </c>
      <c r="E15" s="22">
        <f t="shared" ref="E15:L15" si="0">SUM(E5:E14)</f>
        <v>8482</v>
      </c>
      <c r="F15" s="22">
        <f t="shared" si="0"/>
        <v>8482</v>
      </c>
      <c r="G15" s="22">
        <f t="shared" si="0"/>
        <v>53409</v>
      </c>
      <c r="H15" s="22">
        <f t="shared" si="0"/>
        <v>0</v>
      </c>
      <c r="I15" s="22">
        <f t="shared" si="0"/>
        <v>70373</v>
      </c>
      <c r="J15" s="22">
        <f t="shared" si="0"/>
        <v>8482</v>
      </c>
      <c r="K15" s="22">
        <f t="shared" si="0"/>
        <v>53409</v>
      </c>
      <c r="L15" s="22">
        <f t="shared" si="0"/>
        <v>0</v>
      </c>
      <c r="M15" s="24"/>
      <c r="N15" s="24"/>
      <c r="O15" s="24"/>
      <c r="P15" s="24"/>
      <c r="Q15" s="24"/>
    </row>
    <row r="16" spans="1:17" ht="15" customHeight="1" thickTop="1" x14ac:dyDescent="0.35">
      <c r="M16" s="20"/>
      <c r="N16" s="20"/>
      <c r="O16" s="20"/>
      <c r="P16" s="20"/>
      <c r="Q16" s="20"/>
    </row>
    <row r="17" spans="1:11" ht="15" customHeight="1" x14ac:dyDescent="0.35"/>
    <row r="18" spans="1:11" ht="15" customHeight="1" x14ac:dyDescent="0.35"/>
    <row r="19" spans="1:11" ht="15" customHeight="1" x14ac:dyDescent="0.35"/>
    <row r="20" spans="1:11" ht="15" customHeight="1" x14ac:dyDescent="0.35">
      <c r="B20" s="12"/>
      <c r="C20"/>
      <c r="D20" s="6"/>
      <c r="E20" s="6"/>
      <c r="F20" s="6"/>
      <c r="G20" s="1"/>
      <c r="H20" s="1"/>
      <c r="I20" s="1"/>
      <c r="J20" s="1"/>
    </row>
    <row r="21" spans="1:11" ht="15" customHeight="1" x14ac:dyDescent="0.35">
      <c r="B21" s="5"/>
      <c r="C21"/>
      <c r="D21" s="6"/>
      <c r="E21" s="6"/>
      <c r="F21" s="6"/>
      <c r="G21" s="1"/>
      <c r="H21" s="1"/>
      <c r="I21" s="1"/>
      <c r="J21" s="1"/>
    </row>
    <row r="22" spans="1:11" ht="15" customHeight="1" x14ac:dyDescent="0.35">
      <c r="B22" s="5"/>
      <c r="C22"/>
      <c r="D22" s="6"/>
      <c r="E22" s="6"/>
      <c r="F22" s="6"/>
      <c r="G22" s="1"/>
      <c r="H22" s="1"/>
      <c r="I22" s="1"/>
      <c r="J22" s="1"/>
    </row>
    <row r="23" spans="1:11" ht="15" customHeight="1" x14ac:dyDescent="0.35">
      <c r="B23" s="5"/>
      <c r="C23"/>
      <c r="D23" s="10"/>
      <c r="E23" s="10"/>
      <c r="F23" s="10"/>
      <c r="G23" s="1"/>
      <c r="H23" s="1"/>
      <c r="I23" s="1"/>
      <c r="J23" s="1"/>
    </row>
    <row r="24" spans="1:11" ht="15" customHeight="1" x14ac:dyDescent="0.35">
      <c r="A24" s="20"/>
      <c r="B24" s="5"/>
      <c r="C24"/>
      <c r="D24" s="10"/>
      <c r="E24" s="10"/>
      <c r="F24" s="10"/>
      <c r="G24" s="1"/>
      <c r="H24" s="1"/>
      <c r="I24" s="1"/>
      <c r="J24" s="1"/>
      <c r="K24" s="20"/>
    </row>
    <row r="25" spans="1:11" ht="15" customHeight="1" x14ac:dyDescent="0.35">
      <c r="A25" s="20"/>
      <c r="B25" s="5"/>
      <c r="K25" s="20"/>
    </row>
    <row r="26" spans="1:11" ht="15" customHeight="1" x14ac:dyDescent="0.35">
      <c r="K26" s="1"/>
    </row>
    <row r="27" spans="1:11" ht="15" customHeight="1" x14ac:dyDescent="0.35">
      <c r="K27" s="1"/>
    </row>
    <row r="30" spans="1:11" ht="15" customHeight="1" x14ac:dyDescent="0.35"/>
    <row r="31" spans="1:11" ht="15" customHeight="1" x14ac:dyDescent="0.35"/>
    <row r="32" spans="1:11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autoFilter ref="A4:Q15" xr:uid="{00000000-0009-0000-0000-000000000000}">
    <sortState xmlns:xlrd2="http://schemas.microsoft.com/office/spreadsheetml/2017/richdata2" ref="A5:Q15">
      <sortCondition ref="C4:C15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76"/>
  <sheetViews>
    <sheetView showGridLines="0" topLeftCell="A4" zoomScale="90" zoomScaleNormal="90" workbookViewId="0">
      <pane ySplit="1" topLeftCell="A36" activePane="bottomLeft" state="frozen"/>
      <selection activeCell="A4" sqref="A4"/>
      <selection pane="bottomLeft" activeCell="G43" sqref="G43:G44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1.54296875" style="2" bestFit="1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18.453125" bestFit="1" customWidth="1"/>
    <col min="13" max="13" width="16.1796875" customWidth="1"/>
    <col min="14" max="14" width="15.1796875" bestFit="1" customWidth="1"/>
    <col min="15" max="15" width="28.1796875" bestFit="1" customWidth="1"/>
    <col min="16" max="16" width="17.453125" bestFit="1" customWidth="1"/>
  </cols>
  <sheetData>
    <row r="2" spans="1:16" x14ac:dyDescent="0.35">
      <c r="B2" s="3" t="s">
        <v>0</v>
      </c>
    </row>
    <row r="3" spans="1:16" ht="18.5" x14ac:dyDescent="0.45">
      <c r="B3" s="4" t="s">
        <v>1</v>
      </c>
      <c r="C3" s="7">
        <v>45444</v>
      </c>
      <c r="K3" s="1" t="s">
        <v>0</v>
      </c>
    </row>
    <row r="4" spans="1:16" ht="36.7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 t="s">
        <v>56</v>
      </c>
      <c r="N4" s="15" t="s">
        <v>9</v>
      </c>
      <c r="O4" s="15" t="s">
        <v>10</v>
      </c>
      <c r="P4" s="15" t="s">
        <v>11</v>
      </c>
    </row>
    <row r="5" spans="1:16" s="17" customFormat="1" ht="15" customHeight="1" x14ac:dyDescent="0.35">
      <c r="A5" s="11">
        <v>1</v>
      </c>
      <c r="B5" s="36" t="s">
        <v>21</v>
      </c>
      <c r="C5" s="37">
        <v>45799</v>
      </c>
      <c r="D5" s="38">
        <f>2000+2000+1200</f>
        <v>5200</v>
      </c>
      <c r="E5" s="38">
        <v>5200</v>
      </c>
      <c r="F5" s="38"/>
      <c r="G5" s="38">
        <v>25042.989999999932</v>
      </c>
      <c r="H5" s="38">
        <f>G5*1</f>
        <v>25042.989999999932</v>
      </c>
      <c r="I5" s="38">
        <f>+D5-E5+G5</f>
        <v>25042.989999999932</v>
      </c>
      <c r="J5" s="38"/>
      <c r="K5" s="38">
        <f>+I5</f>
        <v>25042.989999999932</v>
      </c>
      <c r="L5" s="38">
        <v>28350</v>
      </c>
      <c r="M5" s="44">
        <f>SUM(J5:L5)</f>
        <v>53392.989999999932</v>
      </c>
      <c r="N5" s="24"/>
      <c r="O5" s="24"/>
      <c r="P5" s="24"/>
    </row>
    <row r="6" spans="1:16" s="17" customFormat="1" ht="15" customHeight="1" x14ac:dyDescent="0.35">
      <c r="A6" s="11">
        <v>2</v>
      </c>
      <c r="B6" s="23" t="s">
        <v>16</v>
      </c>
      <c r="C6" s="21">
        <v>45825</v>
      </c>
      <c r="D6" s="8">
        <f>2500+2500</f>
        <v>5000</v>
      </c>
      <c r="E6" s="33">
        <f t="shared" ref="E6" si="0">+D6-F6</f>
        <v>2500</v>
      </c>
      <c r="F6" s="33">
        <f>+D6*0.5</f>
        <v>2500</v>
      </c>
      <c r="G6" s="16">
        <f>33866.01-11620.55-5000</f>
        <v>17245.460000000003</v>
      </c>
      <c r="H6" s="16">
        <f t="shared" ref="H6:H25" si="1">G6*0.5</f>
        <v>8622.7300000000014</v>
      </c>
      <c r="I6" s="9">
        <f>+G6+D6</f>
        <v>22245.460000000003</v>
      </c>
      <c r="J6" s="9">
        <f>+I6*0.5</f>
        <v>11122.730000000001</v>
      </c>
      <c r="K6" s="9"/>
      <c r="L6" s="9"/>
      <c r="M6" s="44">
        <f t="shared" ref="M6:M53" si="2">SUM(J6:L6)</f>
        <v>11122.730000000001</v>
      </c>
      <c r="N6" s="24"/>
      <c r="O6" s="24"/>
      <c r="P6" s="24"/>
    </row>
    <row r="7" spans="1:16" s="17" customFormat="1" ht="15" customHeight="1" x14ac:dyDescent="0.35">
      <c r="A7" s="11">
        <v>3</v>
      </c>
      <c r="B7" s="23" t="s">
        <v>24</v>
      </c>
      <c r="C7" s="21">
        <v>45826</v>
      </c>
      <c r="D7" s="8">
        <v>6252</v>
      </c>
      <c r="E7" s="33">
        <v>3126</v>
      </c>
      <c r="F7" s="33">
        <v>3126</v>
      </c>
      <c r="G7" s="16"/>
      <c r="H7" s="16">
        <f t="shared" si="1"/>
        <v>0</v>
      </c>
      <c r="I7" s="9">
        <f>+D7+G7</f>
        <v>6252</v>
      </c>
      <c r="J7" s="9">
        <v>3500</v>
      </c>
      <c r="K7" s="9"/>
      <c r="L7" s="9"/>
      <c r="M7" s="44">
        <f t="shared" si="2"/>
        <v>3500</v>
      </c>
      <c r="N7" s="24"/>
      <c r="O7" s="24"/>
      <c r="P7" s="24"/>
    </row>
    <row r="8" spans="1:16" s="17" customFormat="1" ht="15" customHeight="1" x14ac:dyDescent="0.35">
      <c r="A8" s="11">
        <v>4</v>
      </c>
      <c r="B8" s="23" t="s">
        <v>17</v>
      </c>
      <c r="C8" s="21">
        <v>45834</v>
      </c>
      <c r="D8" s="8">
        <v>2000</v>
      </c>
      <c r="E8" s="33">
        <v>1000</v>
      </c>
      <c r="F8" s="33">
        <v>1000</v>
      </c>
      <c r="G8" s="16">
        <f>22505.45-2000-18452.57</f>
        <v>2052.880000000001</v>
      </c>
      <c r="H8" s="16">
        <f t="shared" si="1"/>
        <v>1026.4400000000005</v>
      </c>
      <c r="I8" s="9">
        <f>+G8+D8</f>
        <v>4052.880000000001</v>
      </c>
      <c r="J8" s="9">
        <v>3500</v>
      </c>
      <c r="K8" s="9"/>
      <c r="L8" s="9"/>
      <c r="M8" s="44">
        <f t="shared" si="2"/>
        <v>3500</v>
      </c>
      <c r="N8" s="24"/>
      <c r="O8" s="24"/>
      <c r="P8" s="24"/>
    </row>
    <row r="9" spans="1:16" s="17" customFormat="1" ht="15" customHeight="1" x14ac:dyDescent="0.35">
      <c r="A9" s="11">
        <v>5</v>
      </c>
      <c r="B9" s="23" t="s">
        <v>35</v>
      </c>
      <c r="C9" s="21">
        <v>45839</v>
      </c>
      <c r="D9" s="8">
        <v>4000</v>
      </c>
      <c r="E9" s="33">
        <v>4000</v>
      </c>
      <c r="F9" s="33"/>
      <c r="G9" s="16">
        <v>0</v>
      </c>
      <c r="H9" s="16">
        <f t="shared" si="1"/>
        <v>0</v>
      </c>
      <c r="I9" s="9">
        <f t="shared" ref="I9" si="3">+D9-E9+G9</f>
        <v>0</v>
      </c>
      <c r="J9" s="9">
        <f>+I9*0.5</f>
        <v>0</v>
      </c>
      <c r="K9" s="9"/>
      <c r="L9" s="9"/>
      <c r="M9" s="44">
        <f t="shared" si="2"/>
        <v>0</v>
      </c>
      <c r="N9" s="24"/>
      <c r="O9" s="24"/>
      <c r="P9" s="24"/>
    </row>
    <row r="10" spans="1:16" s="17" customFormat="1" ht="15" customHeight="1" x14ac:dyDescent="0.35">
      <c r="A10" s="11">
        <v>6</v>
      </c>
      <c r="B10" s="36" t="s">
        <v>22</v>
      </c>
      <c r="C10" s="37">
        <v>45846</v>
      </c>
      <c r="D10" s="38">
        <v>2000</v>
      </c>
      <c r="E10" s="38">
        <v>2000</v>
      </c>
      <c r="F10" s="38"/>
      <c r="G10" s="38">
        <v>27823.789999999979</v>
      </c>
      <c r="H10" s="38">
        <f>G10*1</f>
        <v>27823.789999999979</v>
      </c>
      <c r="I10" s="38">
        <f>+G10</f>
        <v>27823.789999999979</v>
      </c>
      <c r="J10" s="38"/>
      <c r="K10" s="38">
        <f>+I10</f>
        <v>27823.789999999979</v>
      </c>
      <c r="L10" s="38"/>
      <c r="M10" s="44">
        <f t="shared" si="2"/>
        <v>27823.789999999979</v>
      </c>
      <c r="N10" s="24"/>
      <c r="O10" s="24"/>
      <c r="P10" s="24"/>
    </row>
    <row r="11" spans="1:16" s="17" customFormat="1" ht="15" customHeight="1" x14ac:dyDescent="0.35">
      <c r="A11" s="11">
        <v>7</v>
      </c>
      <c r="B11" s="23" t="s">
        <v>18</v>
      </c>
      <c r="C11" s="21">
        <v>45848</v>
      </c>
      <c r="D11" s="8">
        <v>2500</v>
      </c>
      <c r="E11" s="33">
        <v>1250</v>
      </c>
      <c r="F11" s="33">
        <v>1250</v>
      </c>
      <c r="G11" s="16">
        <f>22994-18457-2500</f>
        <v>2037</v>
      </c>
      <c r="H11" s="16">
        <f t="shared" si="1"/>
        <v>1018.5</v>
      </c>
      <c r="I11" s="9">
        <f>+G11+D11</f>
        <v>4537</v>
      </c>
      <c r="J11" s="9">
        <v>3500</v>
      </c>
      <c r="K11" s="9"/>
      <c r="L11" s="9"/>
      <c r="M11" s="44">
        <f t="shared" si="2"/>
        <v>3500</v>
      </c>
      <c r="N11" s="24"/>
      <c r="O11" s="24"/>
      <c r="P11" s="24"/>
    </row>
    <row r="12" spans="1:16" s="17" customFormat="1" ht="15" customHeight="1" x14ac:dyDescent="0.35">
      <c r="A12" s="11">
        <v>8</v>
      </c>
      <c r="B12" s="36" t="s">
        <v>23</v>
      </c>
      <c r="C12" s="37">
        <v>45857</v>
      </c>
      <c r="D12" s="38">
        <v>2000</v>
      </c>
      <c r="E12" s="38">
        <v>2000</v>
      </c>
      <c r="F12" s="38"/>
      <c r="G12" s="38">
        <v>24968</v>
      </c>
      <c r="H12" s="38">
        <f>G12*1</f>
        <v>24968</v>
      </c>
      <c r="I12" s="38">
        <f>+G12</f>
        <v>24968</v>
      </c>
      <c r="J12" s="38"/>
      <c r="K12" s="38">
        <f>+I12</f>
        <v>24968</v>
      </c>
      <c r="L12" s="38"/>
      <c r="M12" s="44">
        <f t="shared" si="2"/>
        <v>24968</v>
      </c>
      <c r="N12" s="24"/>
      <c r="O12" s="24"/>
      <c r="P12" s="24"/>
    </row>
    <row r="13" spans="1:16" s="17" customFormat="1" ht="15" customHeight="1" x14ac:dyDescent="0.35">
      <c r="A13" s="11">
        <v>9</v>
      </c>
      <c r="B13" s="23" t="s">
        <v>19</v>
      </c>
      <c r="C13" s="21">
        <v>45863</v>
      </c>
      <c r="D13" s="8">
        <v>2500</v>
      </c>
      <c r="E13" s="33">
        <v>1250</v>
      </c>
      <c r="F13" s="33">
        <v>1250</v>
      </c>
      <c r="G13" s="16">
        <v>3203</v>
      </c>
      <c r="H13" s="16">
        <f t="shared" si="1"/>
        <v>1601.5</v>
      </c>
      <c r="I13" s="9">
        <f>+G13+D13</f>
        <v>5703</v>
      </c>
      <c r="J13" s="9">
        <v>3500</v>
      </c>
      <c r="K13" s="9"/>
      <c r="L13" s="9"/>
      <c r="M13" s="44">
        <f t="shared" si="2"/>
        <v>3500</v>
      </c>
      <c r="N13" s="24"/>
      <c r="O13" s="24"/>
      <c r="P13" s="24"/>
    </row>
    <row r="14" spans="1:16" s="17" customFormat="1" ht="15" customHeight="1" x14ac:dyDescent="0.35">
      <c r="A14" s="11">
        <v>10</v>
      </c>
      <c r="B14" s="23" t="s">
        <v>20</v>
      </c>
      <c r="C14" s="21">
        <v>45869</v>
      </c>
      <c r="D14" s="8">
        <v>5000</v>
      </c>
      <c r="E14" s="33">
        <f>+D14-F14</f>
        <v>2500</v>
      </c>
      <c r="F14" s="33">
        <f>+D14*0.5</f>
        <v>2500</v>
      </c>
      <c r="G14" s="34">
        <v>3888</v>
      </c>
      <c r="H14" s="16">
        <f t="shared" si="1"/>
        <v>1944</v>
      </c>
      <c r="I14" s="9">
        <f>+G14+D14</f>
        <v>8888</v>
      </c>
      <c r="J14" s="9">
        <f>+I14*0.5</f>
        <v>4444</v>
      </c>
      <c r="K14" s="9"/>
      <c r="L14" s="9"/>
      <c r="M14" s="44">
        <f t="shared" si="2"/>
        <v>4444</v>
      </c>
      <c r="N14" s="24"/>
      <c r="O14" s="24"/>
      <c r="P14" s="24"/>
    </row>
    <row r="15" spans="1:16" s="17" customFormat="1" ht="15" customHeight="1" x14ac:dyDescent="0.35">
      <c r="A15" s="11">
        <v>11</v>
      </c>
      <c r="B15" s="23" t="s">
        <v>25</v>
      </c>
      <c r="C15" s="21">
        <v>45874</v>
      </c>
      <c r="D15" s="33">
        <v>2000</v>
      </c>
      <c r="E15" s="33">
        <v>1000</v>
      </c>
      <c r="F15" s="33">
        <v>1000</v>
      </c>
      <c r="G15" s="33">
        <f>936+559+600+306</f>
        <v>2401</v>
      </c>
      <c r="H15" s="16">
        <f t="shared" si="1"/>
        <v>1200.5</v>
      </c>
      <c r="I15" s="9">
        <f>+G15+D15</f>
        <v>4401</v>
      </c>
      <c r="J15" s="9">
        <v>3500</v>
      </c>
      <c r="K15" s="9"/>
      <c r="L15" s="9"/>
      <c r="M15" s="44">
        <f t="shared" si="2"/>
        <v>3500</v>
      </c>
      <c r="N15" s="24"/>
      <c r="O15" s="24"/>
      <c r="P15" s="24"/>
    </row>
    <row r="16" spans="1:16" s="17" customFormat="1" ht="15" customHeight="1" x14ac:dyDescent="0.35">
      <c r="A16" s="11">
        <v>12</v>
      </c>
      <c r="B16" s="36" t="s">
        <v>31</v>
      </c>
      <c r="C16" s="37">
        <v>45873</v>
      </c>
      <c r="D16" s="38">
        <v>2000</v>
      </c>
      <c r="E16" s="38">
        <v>2000</v>
      </c>
      <c r="F16" s="38"/>
      <c r="G16" s="38">
        <f>7797+5886+990+1503+1850+7700+925</f>
        <v>26651</v>
      </c>
      <c r="H16" s="38">
        <f>G16*1</f>
        <v>26651</v>
      </c>
      <c r="I16" s="38">
        <f>+G16</f>
        <v>26651</v>
      </c>
      <c r="J16" s="38"/>
      <c r="K16" s="38">
        <f>+I16</f>
        <v>26651</v>
      </c>
      <c r="L16" s="38"/>
      <c r="M16" s="44">
        <f t="shared" si="2"/>
        <v>26651</v>
      </c>
      <c r="N16" s="24"/>
      <c r="O16" s="24"/>
      <c r="P16" s="24"/>
    </row>
    <row r="17" spans="1:16" s="17" customFormat="1" ht="15" customHeight="1" x14ac:dyDescent="0.35">
      <c r="A17" s="11">
        <v>13</v>
      </c>
      <c r="B17" s="23" t="s">
        <v>33</v>
      </c>
      <c r="C17" s="21">
        <v>45878</v>
      </c>
      <c r="D17" s="33">
        <v>2400</v>
      </c>
      <c r="E17" s="33">
        <v>1200</v>
      </c>
      <c r="F17" s="33">
        <v>1200</v>
      </c>
      <c r="G17" s="33">
        <v>3200</v>
      </c>
      <c r="H17" s="16">
        <f t="shared" si="1"/>
        <v>1600</v>
      </c>
      <c r="I17" s="9">
        <f>+G17+D17</f>
        <v>5600</v>
      </c>
      <c r="J17" s="9">
        <v>3500</v>
      </c>
      <c r="K17" s="9"/>
      <c r="L17" s="9"/>
      <c r="M17" s="44">
        <f t="shared" si="2"/>
        <v>3500</v>
      </c>
      <c r="N17" s="24"/>
      <c r="O17" s="24"/>
      <c r="P17" s="24"/>
    </row>
    <row r="18" spans="1:16" s="17" customFormat="1" ht="15" customHeight="1" x14ac:dyDescent="0.35">
      <c r="A18" s="11">
        <v>14</v>
      </c>
      <c r="B18" s="23" t="s">
        <v>26</v>
      </c>
      <c r="C18" s="21">
        <v>45890</v>
      </c>
      <c r="D18" s="33">
        <f>5500+6000</f>
        <v>11500</v>
      </c>
      <c r="E18" s="33">
        <v>5750</v>
      </c>
      <c r="F18" s="33">
        <v>5750</v>
      </c>
      <c r="G18" s="33">
        <v>229</v>
      </c>
      <c r="H18" s="16">
        <f>G18*1</f>
        <v>229</v>
      </c>
      <c r="I18" s="9">
        <f>+D18+G18</f>
        <v>11729</v>
      </c>
      <c r="J18" s="9">
        <f>+I18*0.5</f>
        <v>5864.5</v>
      </c>
      <c r="K18" s="9"/>
      <c r="L18" s="9"/>
      <c r="M18" s="44">
        <f t="shared" si="2"/>
        <v>5864.5</v>
      </c>
      <c r="N18" s="24"/>
      <c r="O18" s="24"/>
      <c r="P18" s="24"/>
    </row>
    <row r="19" spans="1:16" s="17" customFormat="1" ht="15" customHeight="1" x14ac:dyDescent="0.35">
      <c r="A19" s="11">
        <v>15</v>
      </c>
      <c r="B19" s="23" t="s">
        <v>27</v>
      </c>
      <c r="C19" s="21">
        <v>45896</v>
      </c>
      <c r="D19" s="33">
        <f>2000+2000</f>
        <v>4000</v>
      </c>
      <c r="E19" s="33">
        <v>2000</v>
      </c>
      <c r="F19" s="33">
        <v>2000</v>
      </c>
      <c r="G19" s="33">
        <f>(539+202)+(131)</f>
        <v>872</v>
      </c>
      <c r="H19" s="16">
        <f t="shared" si="1"/>
        <v>436</v>
      </c>
      <c r="I19" s="9">
        <f>+G19+D19</f>
        <v>4872</v>
      </c>
      <c r="J19" s="9">
        <v>3500</v>
      </c>
      <c r="K19" s="9"/>
      <c r="L19" s="9"/>
      <c r="M19" s="44">
        <f t="shared" si="2"/>
        <v>3500</v>
      </c>
      <c r="N19" s="24"/>
      <c r="O19" s="24"/>
      <c r="P19" s="24"/>
    </row>
    <row r="20" spans="1:16" s="17" customFormat="1" ht="15" customHeight="1" x14ac:dyDescent="0.35">
      <c r="A20" s="11">
        <v>16</v>
      </c>
      <c r="B20" s="23" t="s">
        <v>28</v>
      </c>
      <c r="C20" s="21">
        <v>45904</v>
      </c>
      <c r="D20" s="33">
        <f>2000+2000</f>
        <v>4000</v>
      </c>
      <c r="E20" s="33">
        <f>+D20-F20</f>
        <v>2000</v>
      </c>
      <c r="F20" s="33">
        <f>+D20*0.5</f>
        <v>2000</v>
      </c>
      <c r="G20" s="33">
        <f>+(545+578)+(166)</f>
        <v>1289</v>
      </c>
      <c r="H20" s="16">
        <f t="shared" si="1"/>
        <v>644.5</v>
      </c>
      <c r="I20" s="9">
        <f>+G20+D20</f>
        <v>5289</v>
      </c>
      <c r="J20" s="9">
        <v>3500</v>
      </c>
      <c r="K20" s="9"/>
      <c r="L20" s="9"/>
      <c r="M20" s="44">
        <f t="shared" si="2"/>
        <v>3500</v>
      </c>
      <c r="N20" s="24"/>
      <c r="O20" s="24"/>
      <c r="P20" s="24"/>
    </row>
    <row r="21" spans="1:16" s="17" customFormat="1" ht="15" customHeight="1" x14ac:dyDescent="0.35">
      <c r="A21" s="11">
        <v>17</v>
      </c>
      <c r="B21" s="36" t="s">
        <v>36</v>
      </c>
      <c r="C21" s="37">
        <v>45894</v>
      </c>
      <c r="D21" s="38">
        <v>500</v>
      </c>
      <c r="E21" s="38">
        <v>500</v>
      </c>
      <c r="F21" s="38"/>
      <c r="G21" s="38"/>
      <c r="H21" s="38">
        <f t="shared" si="1"/>
        <v>0</v>
      </c>
      <c r="I21" s="41">
        <f>+G21</f>
        <v>0</v>
      </c>
      <c r="J21" s="38">
        <f>+I21*0.5</f>
        <v>0</v>
      </c>
      <c r="K21" s="38">
        <f>+I21</f>
        <v>0</v>
      </c>
      <c r="L21" s="38"/>
      <c r="M21" s="44">
        <f t="shared" si="2"/>
        <v>0</v>
      </c>
      <c r="N21" s="24"/>
      <c r="O21" s="24"/>
      <c r="P21" s="24"/>
    </row>
    <row r="22" spans="1:16" ht="15" customHeight="1" x14ac:dyDescent="0.35">
      <c r="A22" s="11">
        <v>18</v>
      </c>
      <c r="B22" s="23" t="s">
        <v>29</v>
      </c>
      <c r="C22" s="21">
        <v>45894</v>
      </c>
      <c r="D22" s="33">
        <v>2000</v>
      </c>
      <c r="E22" s="33">
        <v>1000</v>
      </c>
      <c r="F22" s="33">
        <v>1000</v>
      </c>
      <c r="G22" s="33">
        <f>828+29+528+520</f>
        <v>1905</v>
      </c>
      <c r="H22" s="16">
        <f t="shared" si="1"/>
        <v>952.5</v>
      </c>
      <c r="I22" s="9">
        <f>+G22+D22</f>
        <v>3905</v>
      </c>
      <c r="J22" s="9">
        <v>3500</v>
      </c>
      <c r="K22" s="9"/>
      <c r="L22" s="9"/>
      <c r="M22" s="44">
        <f t="shared" si="2"/>
        <v>3500</v>
      </c>
      <c r="N22" s="24"/>
      <c r="O22" s="24"/>
      <c r="P22" s="24"/>
    </row>
    <row r="23" spans="1:16" ht="15" customHeight="1" x14ac:dyDescent="0.35">
      <c r="A23" s="11">
        <v>19</v>
      </c>
      <c r="B23" s="23" t="s">
        <v>30</v>
      </c>
      <c r="C23" s="21">
        <v>45903</v>
      </c>
      <c r="D23" s="33">
        <v>2500</v>
      </c>
      <c r="E23" s="33">
        <v>1250</v>
      </c>
      <c r="F23" s="33">
        <v>1250</v>
      </c>
      <c r="G23" s="33">
        <f>1302+13.5+100+165.5</f>
        <v>1581</v>
      </c>
      <c r="H23" s="16">
        <f t="shared" si="1"/>
        <v>790.5</v>
      </c>
      <c r="I23" s="9">
        <f>+G23+D23</f>
        <v>4081</v>
      </c>
      <c r="J23" s="9">
        <v>3500</v>
      </c>
      <c r="K23" s="9"/>
      <c r="L23" s="9"/>
      <c r="M23" s="44">
        <f t="shared" si="2"/>
        <v>3500</v>
      </c>
      <c r="N23" s="24"/>
      <c r="O23" s="24"/>
      <c r="P23" s="24"/>
    </row>
    <row r="24" spans="1:16" ht="15" customHeight="1" x14ac:dyDescent="0.35">
      <c r="A24" s="11">
        <v>20</v>
      </c>
      <c r="B24" s="26" t="s">
        <v>32</v>
      </c>
      <c r="C24" s="21">
        <v>45892</v>
      </c>
      <c r="D24" s="33">
        <f>1500+1000</f>
        <v>2500</v>
      </c>
      <c r="E24" s="33">
        <v>1250</v>
      </c>
      <c r="F24" s="33">
        <v>1250</v>
      </c>
      <c r="G24" s="33">
        <f>+(0)+(522)</f>
        <v>522</v>
      </c>
      <c r="H24" s="16">
        <f t="shared" si="1"/>
        <v>261</v>
      </c>
      <c r="I24" s="9">
        <f>+G24+D24</f>
        <v>3022</v>
      </c>
      <c r="J24" s="9">
        <v>3500</v>
      </c>
      <c r="K24" s="9"/>
      <c r="L24" s="9"/>
      <c r="M24" s="44">
        <f t="shared" si="2"/>
        <v>3500</v>
      </c>
      <c r="N24" s="24"/>
      <c r="O24" s="24"/>
      <c r="P24" s="24"/>
    </row>
    <row r="25" spans="1:16" ht="15" customHeight="1" x14ac:dyDescent="0.35">
      <c r="A25" s="11">
        <v>21</v>
      </c>
      <c r="B25" s="36" t="s">
        <v>34</v>
      </c>
      <c r="C25" s="37">
        <v>45882</v>
      </c>
      <c r="D25" s="38">
        <f>1200+2000+500</f>
        <v>3700</v>
      </c>
      <c r="E25" s="38">
        <v>3700</v>
      </c>
      <c r="F25" s="38"/>
      <c r="G25" s="38"/>
      <c r="H25" s="38">
        <f t="shared" si="1"/>
        <v>0</v>
      </c>
      <c r="I25" s="38">
        <f t="shared" ref="I25" si="4">+D25-E25+G25</f>
        <v>0</v>
      </c>
      <c r="J25" s="38">
        <f t="shared" ref="J25" si="5">+I25*0.7</f>
        <v>0</v>
      </c>
      <c r="K25" s="38">
        <f>+I25</f>
        <v>0</v>
      </c>
      <c r="L25" s="38"/>
      <c r="M25" s="44">
        <f t="shared" si="2"/>
        <v>0</v>
      </c>
      <c r="N25" s="24"/>
      <c r="O25" s="24"/>
      <c r="P25" s="24"/>
    </row>
    <row r="26" spans="1:16" s="17" customFormat="1" ht="15" customHeight="1" x14ac:dyDescent="0.35">
      <c r="A26" s="11">
        <v>22</v>
      </c>
      <c r="B26" s="26" t="s">
        <v>52</v>
      </c>
      <c r="C26" s="27">
        <v>45925</v>
      </c>
      <c r="D26" s="32">
        <f>2500+2500</f>
        <v>5000</v>
      </c>
      <c r="E26" s="32">
        <v>2500</v>
      </c>
      <c r="F26" s="32">
        <f>+D26*0.5</f>
        <v>2500</v>
      </c>
      <c r="G26" s="32">
        <v>0</v>
      </c>
      <c r="H26" s="29"/>
      <c r="I26" s="28">
        <f>+D26+G26</f>
        <v>5000</v>
      </c>
      <c r="J26" s="28">
        <v>3500</v>
      </c>
      <c r="K26" s="28"/>
      <c r="L26" s="9"/>
      <c r="M26" s="44">
        <f t="shared" si="2"/>
        <v>3500</v>
      </c>
      <c r="N26" s="30"/>
      <c r="O26" s="30"/>
      <c r="P26" s="30"/>
    </row>
    <row r="27" spans="1:16" s="17" customFormat="1" ht="15" customHeight="1" x14ac:dyDescent="0.35">
      <c r="A27" s="11">
        <v>23</v>
      </c>
      <c r="B27" s="39" t="s">
        <v>39</v>
      </c>
      <c r="C27" s="40">
        <v>45912</v>
      </c>
      <c r="D27" s="41">
        <v>2000</v>
      </c>
      <c r="E27" s="41">
        <v>2000</v>
      </c>
      <c r="F27" s="41"/>
      <c r="G27" s="41">
        <f>7217+240+461+5460+90+173+1320+27+1850+7700+268</f>
        <v>24806</v>
      </c>
      <c r="H27" s="41">
        <v>24806</v>
      </c>
      <c r="I27" s="41">
        <f>+G27</f>
        <v>24806</v>
      </c>
      <c r="J27" s="41"/>
      <c r="K27" s="41">
        <f>+I27</f>
        <v>24806</v>
      </c>
      <c r="L27" s="38"/>
      <c r="M27" s="44">
        <f t="shared" si="2"/>
        <v>24806</v>
      </c>
      <c r="N27" s="30"/>
      <c r="O27" s="30"/>
      <c r="P27" s="30"/>
    </row>
    <row r="28" spans="1:16" s="35" customFormat="1" ht="15" customHeight="1" x14ac:dyDescent="0.35">
      <c r="A28" s="11">
        <v>24</v>
      </c>
      <c r="B28" s="26" t="s">
        <v>37</v>
      </c>
      <c r="C28" s="27">
        <v>45932</v>
      </c>
      <c r="D28" s="32">
        <f>2000+2000</f>
        <v>4000</v>
      </c>
      <c r="E28" s="33">
        <f>+D28*0.5</f>
        <v>2000</v>
      </c>
      <c r="F28" s="33">
        <f>+D28*0.5</f>
        <v>2000</v>
      </c>
      <c r="G28" s="32">
        <f>(850+6+42+0+0+1159+350+100+268)+(297+400)</f>
        <v>3472</v>
      </c>
      <c r="H28" s="29">
        <f>+G28/2</f>
        <v>1736</v>
      </c>
      <c r="I28" s="28">
        <f>+G28+D28</f>
        <v>7472</v>
      </c>
      <c r="J28" s="28">
        <v>3500</v>
      </c>
      <c r="K28" s="28"/>
      <c r="L28" s="9"/>
      <c r="M28" s="44">
        <f t="shared" si="2"/>
        <v>3500</v>
      </c>
      <c r="N28" s="30"/>
      <c r="O28" s="30"/>
      <c r="P28" s="30"/>
    </row>
    <row r="29" spans="1:16" s="17" customFormat="1" ht="15" customHeight="1" x14ac:dyDescent="0.35">
      <c r="A29" s="11">
        <v>25</v>
      </c>
      <c r="B29" s="36" t="s">
        <v>40</v>
      </c>
      <c r="C29" s="37">
        <v>45928</v>
      </c>
      <c r="D29" s="38">
        <v>2000</v>
      </c>
      <c r="E29" s="38">
        <v>2000</v>
      </c>
      <c r="F29" s="38"/>
      <c r="G29" s="38">
        <f>7405+731+5622+893+1850+7700+150+340</f>
        <v>24691</v>
      </c>
      <c r="H29" s="38">
        <v>24691</v>
      </c>
      <c r="I29" s="38">
        <f>+G29</f>
        <v>24691</v>
      </c>
      <c r="J29" s="38"/>
      <c r="K29" s="38">
        <f>+I29</f>
        <v>24691</v>
      </c>
      <c r="L29" s="38"/>
      <c r="M29" s="44">
        <f t="shared" si="2"/>
        <v>24691</v>
      </c>
      <c r="N29" s="24"/>
      <c r="O29" s="24"/>
      <c r="P29" s="24"/>
    </row>
    <row r="30" spans="1:16" s="17" customFormat="1" ht="15" customHeight="1" x14ac:dyDescent="0.35">
      <c r="A30" s="11">
        <v>26</v>
      </c>
      <c r="B30" s="23" t="s">
        <v>38</v>
      </c>
      <c r="C30" s="21">
        <v>45926</v>
      </c>
      <c r="D30" s="33">
        <v>2000</v>
      </c>
      <c r="E30" s="33">
        <f>+D30*0.5</f>
        <v>1000</v>
      </c>
      <c r="F30" s="33">
        <f>+D30*0.5</f>
        <v>1000</v>
      </c>
      <c r="G30" s="33">
        <v>405</v>
      </c>
      <c r="H30" s="16">
        <f>+G30/2</f>
        <v>202.5</v>
      </c>
      <c r="I30" s="9">
        <f>+G30+D30</f>
        <v>2405</v>
      </c>
      <c r="J30" s="9">
        <v>3500</v>
      </c>
      <c r="K30" s="9"/>
      <c r="L30" s="9"/>
      <c r="M30" s="44">
        <f t="shared" si="2"/>
        <v>3500</v>
      </c>
      <c r="N30" s="24"/>
      <c r="O30" s="24"/>
      <c r="P30" s="24"/>
    </row>
    <row r="31" spans="1:16" s="17" customFormat="1" ht="15" customHeight="1" x14ac:dyDescent="0.35">
      <c r="A31" s="11">
        <v>27</v>
      </c>
      <c r="B31" s="23" t="s">
        <v>51</v>
      </c>
      <c r="C31" s="21">
        <v>45928</v>
      </c>
      <c r="D31" s="33">
        <f>6252+400</f>
        <v>6652</v>
      </c>
      <c r="E31" s="33">
        <f>+D31*0.5</f>
        <v>3326</v>
      </c>
      <c r="F31" s="33">
        <f>+D31*0.5</f>
        <v>3326</v>
      </c>
      <c r="G31" s="33">
        <v>0</v>
      </c>
      <c r="H31" s="16"/>
      <c r="I31" s="9">
        <f>+G31+D31</f>
        <v>6652</v>
      </c>
      <c r="J31" s="9">
        <v>3500</v>
      </c>
      <c r="K31" s="28"/>
      <c r="L31" s="9"/>
      <c r="M31" s="44">
        <f t="shared" si="2"/>
        <v>3500</v>
      </c>
      <c r="N31" s="30"/>
      <c r="O31" s="30"/>
      <c r="P31" s="30"/>
    </row>
    <row r="32" spans="1:16" s="17" customFormat="1" ht="15" customHeight="1" x14ac:dyDescent="0.35">
      <c r="A32" s="11">
        <v>28</v>
      </c>
      <c r="B32" s="23" t="s">
        <v>41</v>
      </c>
      <c r="C32" s="21">
        <v>45945</v>
      </c>
      <c r="D32" s="33">
        <v>2500</v>
      </c>
      <c r="E32" s="33">
        <f>+D32*0.5</f>
        <v>1250</v>
      </c>
      <c r="F32" s="33">
        <f>+D32*0.5</f>
        <v>1250</v>
      </c>
      <c r="G32" s="33">
        <v>2118</v>
      </c>
      <c r="H32" s="16">
        <f>+G32*0.5</f>
        <v>1059</v>
      </c>
      <c r="I32" s="9">
        <f>+G32+D32</f>
        <v>4618</v>
      </c>
      <c r="J32" s="9">
        <v>3500</v>
      </c>
      <c r="K32" s="28"/>
      <c r="L32" s="9"/>
      <c r="M32" s="44">
        <f t="shared" si="2"/>
        <v>3500</v>
      </c>
      <c r="N32" s="30"/>
      <c r="O32" s="30"/>
      <c r="P32" s="30"/>
    </row>
    <row r="33" spans="1:16" s="17" customFormat="1" ht="15" customHeight="1" x14ac:dyDescent="0.35">
      <c r="A33" s="11">
        <v>29</v>
      </c>
      <c r="B33" s="23" t="s">
        <v>43</v>
      </c>
      <c r="C33" s="21">
        <v>45960</v>
      </c>
      <c r="D33" s="33">
        <v>2500</v>
      </c>
      <c r="E33" s="33">
        <f>+D33*0.5</f>
        <v>1250</v>
      </c>
      <c r="F33" s="33">
        <f>+D33*0.5</f>
        <v>1250</v>
      </c>
      <c r="G33" s="33">
        <f>1044+29+61+727+67+884+350+600+282+143</f>
        <v>4187</v>
      </c>
      <c r="H33" s="16">
        <f>+G33*0.5</f>
        <v>2093.5</v>
      </c>
      <c r="I33" s="9">
        <f>+G33+D33</f>
        <v>6687</v>
      </c>
      <c r="J33" s="9">
        <v>3500</v>
      </c>
      <c r="K33" s="9"/>
      <c r="L33" s="9"/>
      <c r="M33" s="44">
        <f t="shared" si="2"/>
        <v>3500</v>
      </c>
      <c r="N33" s="24"/>
      <c r="O33" s="24"/>
      <c r="P33" s="24"/>
    </row>
    <row r="34" spans="1:16" ht="15" customHeight="1" x14ac:dyDescent="0.35">
      <c r="A34" s="11">
        <v>30</v>
      </c>
      <c r="B34" s="39" t="s">
        <v>49</v>
      </c>
      <c r="C34" s="40">
        <v>45961</v>
      </c>
      <c r="D34" s="41">
        <v>2000</v>
      </c>
      <c r="E34" s="41">
        <v>2000</v>
      </c>
      <c r="F34" s="41"/>
      <c r="G34" s="41">
        <f>7794+144+394+6102+591+1254+1850+7700+321+422</f>
        <v>26572</v>
      </c>
      <c r="H34" s="41"/>
      <c r="I34" s="41">
        <f>+G34</f>
        <v>26572</v>
      </c>
      <c r="J34" s="41"/>
      <c r="K34" s="38">
        <f>+I34</f>
        <v>26572</v>
      </c>
      <c r="L34" s="38"/>
      <c r="M34" s="44">
        <f t="shared" si="2"/>
        <v>26572</v>
      </c>
      <c r="N34" s="30"/>
      <c r="O34" s="30"/>
      <c r="P34" s="30"/>
    </row>
    <row r="35" spans="1:16" s="17" customFormat="1" ht="15" customHeight="1" x14ac:dyDescent="0.35">
      <c r="A35" s="11">
        <v>31</v>
      </c>
      <c r="B35" s="39" t="s">
        <v>42</v>
      </c>
      <c r="C35" s="40">
        <v>45974</v>
      </c>
      <c r="D35" s="41">
        <v>2000</v>
      </c>
      <c r="E35" s="41">
        <v>2000</v>
      </c>
      <c r="F35" s="41"/>
      <c r="G35" s="41">
        <f>7736+965+5921+1029+1850+7700+150+340</f>
        <v>25691</v>
      </c>
      <c r="H35" s="41"/>
      <c r="I35" s="41">
        <f>+G35</f>
        <v>25691</v>
      </c>
      <c r="J35" s="41"/>
      <c r="K35" s="41">
        <f>+I35</f>
        <v>25691</v>
      </c>
      <c r="L35" s="38"/>
      <c r="M35" s="44">
        <f t="shared" si="2"/>
        <v>25691</v>
      </c>
      <c r="N35" s="30"/>
      <c r="O35" s="30"/>
      <c r="P35" s="30"/>
    </row>
    <row r="36" spans="1:16" s="17" customFormat="1" ht="15" customHeight="1" x14ac:dyDescent="0.35">
      <c r="A36" s="11">
        <v>32</v>
      </c>
      <c r="B36" s="23" t="s">
        <v>44</v>
      </c>
      <c r="C36" s="21">
        <v>45969</v>
      </c>
      <c r="D36" s="33">
        <v>2500</v>
      </c>
      <c r="E36" s="33">
        <f>+D36*0.5</f>
        <v>1250</v>
      </c>
      <c r="F36" s="33">
        <f>+D36*0.5</f>
        <v>1250</v>
      </c>
      <c r="G36" s="33">
        <f>946+108+230+83+959+1092+1010+1420+300+463</f>
        <v>6611</v>
      </c>
      <c r="H36" s="33">
        <f>+G36*0.5</f>
        <v>3305.5</v>
      </c>
      <c r="I36" s="9">
        <f>+G36+D36</f>
        <v>9111</v>
      </c>
      <c r="J36" s="9">
        <f>+I36*0.5</f>
        <v>4555.5</v>
      </c>
      <c r="K36" s="9"/>
      <c r="L36" s="9"/>
      <c r="M36" s="44">
        <f t="shared" si="2"/>
        <v>4555.5</v>
      </c>
      <c r="N36" s="24"/>
      <c r="O36" s="24"/>
      <c r="P36" s="24"/>
    </row>
    <row r="37" spans="1:16" s="17" customFormat="1" ht="15" customHeight="1" x14ac:dyDescent="0.35">
      <c r="A37" s="11">
        <v>33</v>
      </c>
      <c r="B37" s="36" t="s">
        <v>48</v>
      </c>
      <c r="C37" s="37">
        <v>45970</v>
      </c>
      <c r="D37" s="38">
        <v>2000</v>
      </c>
      <c r="E37" s="38">
        <v>2000</v>
      </c>
      <c r="F37" s="38"/>
      <c r="G37" s="38">
        <f>7847+6110+311+1723+1850+7700+203+379</f>
        <v>26123</v>
      </c>
      <c r="H37" s="38"/>
      <c r="I37" s="38">
        <f>+G37</f>
        <v>26123</v>
      </c>
      <c r="J37" s="38"/>
      <c r="K37" s="38">
        <f>+I37</f>
        <v>26123</v>
      </c>
      <c r="L37" s="38"/>
      <c r="M37" s="44">
        <f t="shared" si="2"/>
        <v>26123</v>
      </c>
      <c r="N37" s="24"/>
      <c r="O37" s="24"/>
      <c r="P37" s="24"/>
    </row>
    <row r="38" spans="1:16" s="17" customFormat="1" ht="15" customHeight="1" x14ac:dyDescent="0.35">
      <c r="A38" s="11">
        <v>34</v>
      </c>
      <c r="B38" s="23" t="s">
        <v>50</v>
      </c>
      <c r="C38" s="21">
        <v>45970</v>
      </c>
      <c r="D38" s="33">
        <v>2000</v>
      </c>
      <c r="E38" s="33">
        <f>+D38*0.5</f>
        <v>1000</v>
      </c>
      <c r="F38" s="33">
        <f>+D38*0.5</f>
        <v>1000</v>
      </c>
      <c r="G38" s="33">
        <f>996+310+1144+279+150+340</f>
        <v>3219</v>
      </c>
      <c r="H38" s="33">
        <f>+G38*0.5</f>
        <v>1609.5</v>
      </c>
      <c r="I38" s="9">
        <f>+G38+D38</f>
        <v>5219</v>
      </c>
      <c r="J38" s="9">
        <v>3500</v>
      </c>
      <c r="K38" s="9"/>
      <c r="L38" s="9"/>
      <c r="M38" s="44">
        <f t="shared" si="2"/>
        <v>3500</v>
      </c>
      <c r="N38" s="24"/>
      <c r="O38" s="24"/>
      <c r="P38" s="24"/>
    </row>
    <row r="39" spans="1:16" ht="15" customHeight="1" x14ac:dyDescent="0.35">
      <c r="A39" s="11">
        <v>35</v>
      </c>
      <c r="B39" s="36" t="s">
        <v>42</v>
      </c>
      <c r="C39" s="37">
        <v>45974</v>
      </c>
      <c r="D39" s="38">
        <v>2000</v>
      </c>
      <c r="E39" s="38">
        <v>2000</v>
      </c>
      <c r="F39" s="38"/>
      <c r="G39" s="38">
        <f>7823+96+405+6043+1216+1275+1850+7700+314</f>
        <v>26722</v>
      </c>
      <c r="H39" s="38"/>
      <c r="I39" s="38">
        <f>+G39</f>
        <v>26722</v>
      </c>
      <c r="J39" s="38"/>
      <c r="K39" s="38">
        <f>+I39</f>
        <v>26722</v>
      </c>
      <c r="L39" s="38"/>
      <c r="M39" s="44">
        <f t="shared" si="2"/>
        <v>26722</v>
      </c>
      <c r="N39" s="30"/>
      <c r="O39" s="30"/>
      <c r="P39" s="30"/>
    </row>
    <row r="40" spans="1:16" ht="15" customHeight="1" x14ac:dyDescent="0.35">
      <c r="A40" s="11">
        <v>36</v>
      </c>
      <c r="B40" s="23" t="s">
        <v>45</v>
      </c>
      <c r="C40" s="21">
        <v>45974</v>
      </c>
      <c r="D40" s="33">
        <v>2500</v>
      </c>
      <c r="E40" s="33">
        <f>+D40*0.5</f>
        <v>1250</v>
      </c>
      <c r="F40" s="33">
        <f>+D40*0.5</f>
        <v>1250</v>
      </c>
      <c r="G40" s="33">
        <f>72+514+240+571+1075+14+100</f>
        <v>2586</v>
      </c>
      <c r="H40" s="16">
        <f>+G40*0.5</f>
        <v>1293</v>
      </c>
      <c r="I40" s="9">
        <f>+G40+D40</f>
        <v>5086</v>
      </c>
      <c r="J40" s="9">
        <v>3500</v>
      </c>
      <c r="K40" s="9"/>
      <c r="L40" s="9"/>
      <c r="M40" s="44">
        <f t="shared" si="2"/>
        <v>3500</v>
      </c>
      <c r="N40" s="30"/>
      <c r="O40" s="30"/>
      <c r="P40" s="30"/>
    </row>
    <row r="41" spans="1:16" ht="15" customHeight="1" x14ac:dyDescent="0.35">
      <c r="A41" s="11">
        <v>37</v>
      </c>
      <c r="B41" s="36" t="s">
        <v>47</v>
      </c>
      <c r="C41" s="37">
        <v>45974</v>
      </c>
      <c r="D41" s="38">
        <f>2000+2000</f>
        <v>4000</v>
      </c>
      <c r="E41" s="38">
        <v>4000</v>
      </c>
      <c r="F41" s="38"/>
      <c r="G41" s="38">
        <f>(7846+5754+311+1291+1850+7700+246)+(1454+297+122)</f>
        <v>26871</v>
      </c>
      <c r="H41" s="38"/>
      <c r="I41" s="38">
        <f>+G41</f>
        <v>26871</v>
      </c>
      <c r="J41" s="38"/>
      <c r="K41" s="38">
        <f>+I41</f>
        <v>26871</v>
      </c>
      <c r="L41" s="38">
        <f>4950+37800</f>
        <v>42750</v>
      </c>
      <c r="M41" s="44">
        <f t="shared" si="2"/>
        <v>69621</v>
      </c>
      <c r="N41" s="24"/>
      <c r="O41" s="24"/>
      <c r="P41" s="24"/>
    </row>
    <row r="42" spans="1:16" ht="15" customHeight="1" x14ac:dyDescent="0.35">
      <c r="A42" s="11">
        <v>38</v>
      </c>
      <c r="B42" s="23" t="s">
        <v>46</v>
      </c>
      <c r="C42" s="21">
        <v>45981</v>
      </c>
      <c r="D42" s="33">
        <v>2000</v>
      </c>
      <c r="E42" s="33">
        <f>+D42*0.5</f>
        <v>1000</v>
      </c>
      <c r="F42" s="33">
        <f>+D42*0.5</f>
        <v>1000</v>
      </c>
      <c r="G42" s="33">
        <f>982+72+314+90+524+1562+350+600+203+311</f>
        <v>5008</v>
      </c>
      <c r="H42" s="16">
        <f>+G42*0.5</f>
        <v>2504</v>
      </c>
      <c r="I42" s="9">
        <f>+G42+D42</f>
        <v>7008</v>
      </c>
      <c r="J42" s="9">
        <f>+I42/2</f>
        <v>3504</v>
      </c>
      <c r="K42" s="9"/>
      <c r="L42" s="9"/>
      <c r="M42" s="44">
        <f t="shared" si="2"/>
        <v>3504</v>
      </c>
      <c r="N42" s="24"/>
      <c r="O42" s="24"/>
      <c r="P42" s="24"/>
    </row>
    <row r="43" spans="1:16" ht="15" customHeight="1" x14ac:dyDescent="0.35">
      <c r="A43" s="11">
        <v>39</v>
      </c>
      <c r="B43" s="36" t="s">
        <v>63</v>
      </c>
      <c r="C43" s="37">
        <v>45987</v>
      </c>
      <c r="D43" s="38">
        <f>2000+2000</f>
        <v>4000</v>
      </c>
      <c r="E43" s="38">
        <v>4000</v>
      </c>
      <c r="F43" s="38"/>
      <c r="G43" s="38">
        <f>(7280+5628+922+815+1850+7700+7700+150+340+340)</f>
        <v>32725</v>
      </c>
      <c r="H43" s="38"/>
      <c r="I43" s="38">
        <f>+G43</f>
        <v>32725</v>
      </c>
      <c r="J43" s="38"/>
      <c r="K43" s="38">
        <f>+I43</f>
        <v>32725</v>
      </c>
      <c r="L43" s="38"/>
      <c r="M43" s="44">
        <f t="shared" si="2"/>
        <v>32725</v>
      </c>
      <c r="N43" s="24"/>
      <c r="O43" s="24"/>
      <c r="P43" s="24"/>
    </row>
    <row r="44" spans="1:16" ht="15" customHeight="1" x14ac:dyDescent="0.35">
      <c r="A44" s="11">
        <v>40</v>
      </c>
      <c r="B44" s="26" t="s">
        <v>57</v>
      </c>
      <c r="C44" s="21">
        <v>46008</v>
      </c>
      <c r="D44" s="32">
        <f>1500+1000</f>
        <v>2500</v>
      </c>
      <c r="E44" s="32">
        <f>+D44*0.5</f>
        <v>1250</v>
      </c>
      <c r="F44" s="32">
        <f>+D44*0.5</f>
        <v>1250</v>
      </c>
      <c r="G44" s="32">
        <f>0+0</f>
        <v>0</v>
      </c>
      <c r="H44" s="32"/>
      <c r="I44" s="28">
        <f>+G44+D44</f>
        <v>2500</v>
      </c>
      <c r="J44" s="28">
        <f>+I44*0.5</f>
        <v>1250</v>
      </c>
      <c r="K44" s="9"/>
      <c r="L44" s="9"/>
      <c r="M44" s="44">
        <f t="shared" si="2"/>
        <v>1250</v>
      </c>
      <c r="N44" s="24"/>
      <c r="O44" s="24"/>
      <c r="P44" s="24"/>
    </row>
    <row r="45" spans="1:16" ht="15" customHeight="1" x14ac:dyDescent="0.35">
      <c r="A45" s="11">
        <v>41</v>
      </c>
      <c r="B45" s="39" t="s">
        <v>58</v>
      </c>
      <c r="C45" s="37">
        <v>46007</v>
      </c>
      <c r="D45" s="38">
        <v>2000</v>
      </c>
      <c r="E45" s="38"/>
      <c r="F45" s="38"/>
      <c r="G45" s="38">
        <f>7246+2702+788+1850+7700+150</f>
        <v>20436</v>
      </c>
      <c r="H45" s="38"/>
      <c r="I45" s="38">
        <f>+G45</f>
        <v>20436</v>
      </c>
      <c r="J45" s="38"/>
      <c r="K45" s="38">
        <f>+I45</f>
        <v>20436</v>
      </c>
      <c r="L45" s="41"/>
      <c r="M45" s="44">
        <f t="shared" si="2"/>
        <v>20436</v>
      </c>
      <c r="N45" s="24"/>
      <c r="O45" s="24"/>
      <c r="P45" s="24"/>
    </row>
    <row r="46" spans="1:16" ht="15" customHeight="1" x14ac:dyDescent="0.35">
      <c r="A46" s="11">
        <v>42</v>
      </c>
      <c r="B46" s="26" t="s">
        <v>60</v>
      </c>
      <c r="C46" s="21">
        <v>46002</v>
      </c>
      <c r="D46" s="32">
        <f>2500+2500</f>
        <v>5000</v>
      </c>
      <c r="E46" s="32">
        <f>+D46*0.5</f>
        <v>2500</v>
      </c>
      <c r="F46" s="32">
        <f>+D46*0.5</f>
        <v>2500</v>
      </c>
      <c r="G46" s="32">
        <v>0</v>
      </c>
      <c r="H46" s="29"/>
      <c r="I46" s="28">
        <f>+G46+D46</f>
        <v>5000</v>
      </c>
      <c r="J46" s="28">
        <f>+I46*0.5</f>
        <v>2500</v>
      </c>
      <c r="K46" s="28"/>
      <c r="L46" s="9"/>
      <c r="M46" s="44">
        <f t="shared" si="2"/>
        <v>2500</v>
      </c>
      <c r="N46" s="24"/>
      <c r="O46" s="24"/>
      <c r="P46" s="24"/>
    </row>
    <row r="47" spans="1:16" ht="15" customHeight="1" x14ac:dyDescent="0.35">
      <c r="A47" s="11">
        <v>43</v>
      </c>
      <c r="B47" s="26" t="s">
        <v>61</v>
      </c>
      <c r="C47" s="21">
        <v>46008</v>
      </c>
      <c r="D47" s="32">
        <f>6464+500</f>
        <v>6964</v>
      </c>
      <c r="E47" s="32">
        <f>+D47*0.5</f>
        <v>3482</v>
      </c>
      <c r="F47" s="32">
        <f>+D47*0.5</f>
        <v>3482</v>
      </c>
      <c r="G47" s="32">
        <v>0</v>
      </c>
      <c r="H47" s="29"/>
      <c r="I47" s="28">
        <f>+G47+D47</f>
        <v>6964</v>
      </c>
      <c r="J47" s="28">
        <f>+I47*0.5</f>
        <v>3482</v>
      </c>
      <c r="K47" s="28"/>
      <c r="L47" s="9"/>
      <c r="M47" s="44">
        <f t="shared" si="2"/>
        <v>3482</v>
      </c>
      <c r="N47" s="24"/>
      <c r="O47" s="24"/>
      <c r="P47" s="24"/>
    </row>
    <row r="48" spans="1:16" ht="15" customHeight="1" x14ac:dyDescent="0.35">
      <c r="A48" s="11">
        <v>44</v>
      </c>
      <c r="B48" s="39" t="s">
        <v>59</v>
      </c>
      <c r="C48" s="37">
        <v>46001</v>
      </c>
      <c r="D48" s="38">
        <v>2000</v>
      </c>
      <c r="E48" s="38"/>
      <c r="F48" s="38"/>
      <c r="G48" s="38">
        <f>7764+5942+1043+1850+7700+150+510</f>
        <v>24959</v>
      </c>
      <c r="H48" s="38"/>
      <c r="I48" s="38">
        <f>+G48</f>
        <v>24959</v>
      </c>
      <c r="J48" s="38"/>
      <c r="K48" s="38">
        <f>+I48</f>
        <v>24959</v>
      </c>
      <c r="L48" s="41"/>
      <c r="M48" s="44">
        <f t="shared" si="2"/>
        <v>24959</v>
      </c>
      <c r="N48" s="24"/>
      <c r="O48" s="24"/>
      <c r="P48" s="24"/>
    </row>
    <row r="49" spans="1:16" ht="15" customHeight="1" x14ac:dyDescent="0.35">
      <c r="A49" s="11">
        <v>45</v>
      </c>
      <c r="B49" s="26" t="s">
        <v>62</v>
      </c>
      <c r="C49" s="21">
        <v>46004</v>
      </c>
      <c r="D49" s="32">
        <v>2500</v>
      </c>
      <c r="E49" s="32">
        <f>+D49*0.5</f>
        <v>1250</v>
      </c>
      <c r="F49" s="32">
        <f>+D49*0.5</f>
        <v>1250</v>
      </c>
      <c r="G49" s="32">
        <v>0</v>
      </c>
      <c r="H49" s="29"/>
      <c r="I49" s="28">
        <f>+G49+D49</f>
        <v>2500</v>
      </c>
      <c r="J49" s="28">
        <f>+I49*0.5</f>
        <v>1250</v>
      </c>
      <c r="K49" s="28"/>
      <c r="L49" s="9"/>
      <c r="M49" s="44"/>
      <c r="N49" s="24"/>
      <c r="O49" s="24"/>
      <c r="P49" s="24"/>
    </row>
    <row r="50" spans="1:16" ht="15" customHeight="1" x14ac:dyDescent="0.35">
      <c r="A50" s="11">
        <v>46</v>
      </c>
      <c r="B50" s="47" t="s">
        <v>64</v>
      </c>
      <c r="C50" s="48">
        <v>46015</v>
      </c>
      <c r="D50" s="49">
        <v>2000</v>
      </c>
      <c r="E50" s="49"/>
      <c r="F50" s="49"/>
      <c r="G50" s="50"/>
      <c r="H50" s="50"/>
      <c r="I50" s="50"/>
      <c r="J50" s="50"/>
      <c r="K50" s="50"/>
      <c r="L50" s="50"/>
      <c r="M50" s="44"/>
      <c r="N50" s="24"/>
      <c r="O50" s="24"/>
      <c r="P50" s="24"/>
    </row>
    <row r="51" spans="1:16" ht="15" customHeight="1" x14ac:dyDescent="0.35">
      <c r="A51" s="11">
        <v>47</v>
      </c>
      <c r="B51" s="26"/>
      <c r="C51" s="27"/>
      <c r="D51" s="33"/>
      <c r="E51" s="33"/>
      <c r="F51" s="33"/>
      <c r="G51" s="33"/>
      <c r="H51" s="33"/>
      <c r="I51" s="9"/>
      <c r="J51" s="9"/>
      <c r="K51" s="9"/>
      <c r="L51" s="9"/>
      <c r="M51" s="44"/>
      <c r="N51" s="24"/>
      <c r="O51" s="24"/>
      <c r="P51" s="24"/>
    </row>
    <row r="52" spans="1:16" ht="15" customHeight="1" x14ac:dyDescent="0.35">
      <c r="A52" s="11">
        <v>48</v>
      </c>
      <c r="B52" s="26"/>
      <c r="C52" s="27"/>
      <c r="D52" s="33"/>
      <c r="E52" s="33"/>
      <c r="F52" s="33"/>
      <c r="G52" s="33"/>
      <c r="H52" s="33"/>
      <c r="I52" s="9"/>
      <c r="J52" s="9"/>
      <c r="K52" s="9"/>
      <c r="L52" s="9"/>
      <c r="M52" s="44"/>
      <c r="N52" s="24"/>
      <c r="O52" s="24"/>
      <c r="P52" s="24"/>
    </row>
    <row r="53" spans="1:16" ht="15" customHeight="1" x14ac:dyDescent="0.35">
      <c r="A53" s="11"/>
      <c r="B53" s="42"/>
      <c r="C53" s="43"/>
      <c r="D53" s="32"/>
      <c r="E53" s="32"/>
      <c r="F53" s="32"/>
      <c r="G53" s="32"/>
      <c r="H53" s="32"/>
      <c r="I53" s="32"/>
      <c r="J53" s="32"/>
      <c r="K53" s="32"/>
      <c r="L53" s="30"/>
      <c r="M53" s="44">
        <f t="shared" si="2"/>
        <v>0</v>
      </c>
      <c r="N53" s="30"/>
      <c r="O53" s="30"/>
      <c r="P53" s="30"/>
    </row>
    <row r="54" spans="1:16" ht="15" customHeight="1" thickBot="1" x14ac:dyDescent="0.4">
      <c r="B54" s="19" t="s">
        <v>12</v>
      </c>
      <c r="C54" s="18"/>
      <c r="D54" s="22">
        <f>SUM(D6:D53)</f>
        <v>142968</v>
      </c>
      <c r="E54" s="22">
        <f>SUM(E6:E53)</f>
        <v>85584</v>
      </c>
      <c r="F54" s="22">
        <f>SUM(F6:F53)</f>
        <v>51384</v>
      </c>
      <c r="G54" s="22">
        <f>SUM(G6:G53)</f>
        <v>407070.13</v>
      </c>
      <c r="H54" s="22">
        <f>SUM(H6:H53)</f>
        <v>163069.95999999996</v>
      </c>
      <c r="I54" s="22">
        <f>SUM(I5:I53)</f>
        <v>534881.11999999988</v>
      </c>
      <c r="J54" s="22">
        <f>SUM(J5:J53)</f>
        <v>104472.73000000001</v>
      </c>
      <c r="K54" s="22">
        <f>SUM(K5:K53)</f>
        <v>364081.77999999991</v>
      </c>
      <c r="L54" s="22">
        <f>SUM(L5:L53)</f>
        <v>71100</v>
      </c>
      <c r="M54" s="22">
        <f>SUM(M5:M53)</f>
        <v>538404.50999999989</v>
      </c>
      <c r="N54" s="20"/>
      <c r="O54" s="20"/>
      <c r="P54" s="20"/>
    </row>
    <row r="55" spans="1:16" ht="15" customHeight="1" thickTop="1" x14ac:dyDescent="0.35"/>
    <row r="56" spans="1:16" ht="15" customHeight="1" x14ac:dyDescent="0.35"/>
    <row r="57" spans="1:16" ht="15" customHeight="1" x14ac:dyDescent="0.35"/>
    <row r="58" spans="1:16" ht="15" customHeight="1" x14ac:dyDescent="0.35"/>
    <row r="59" spans="1:16" ht="15" customHeight="1" x14ac:dyDescent="0.35">
      <c r="B59" s="12"/>
      <c r="C59"/>
      <c r="D59" s="6"/>
      <c r="E59" s="6"/>
      <c r="F59" s="6"/>
      <c r="G59" s="1"/>
      <c r="H59" s="1"/>
      <c r="I59" s="1"/>
      <c r="J59" s="1"/>
    </row>
    <row r="60" spans="1:16" ht="15" customHeight="1" x14ac:dyDescent="0.35">
      <c r="B60" s="5"/>
      <c r="C60"/>
      <c r="D60" s="6"/>
      <c r="E60" s="6"/>
      <c r="F60" s="6"/>
      <c r="G60" s="1"/>
      <c r="H60" s="1"/>
      <c r="I60" s="1"/>
      <c r="J60" s="1"/>
    </row>
    <row r="61" spans="1:16" ht="15" customHeight="1" x14ac:dyDescent="0.35">
      <c r="B61" s="5"/>
      <c r="C61"/>
      <c r="D61" s="6"/>
      <c r="E61" s="6"/>
      <c r="F61" s="6"/>
      <c r="G61" s="1"/>
      <c r="H61" s="1"/>
      <c r="I61" s="1"/>
      <c r="J61" s="1"/>
    </row>
    <row r="62" spans="1:16" ht="15" customHeight="1" x14ac:dyDescent="0.35">
      <c r="B62" s="5"/>
      <c r="C62"/>
      <c r="D62" s="10"/>
      <c r="E62" s="10"/>
      <c r="F62" s="10"/>
      <c r="G62" s="1"/>
      <c r="H62" s="1"/>
      <c r="I62" s="1"/>
      <c r="J62" s="1"/>
    </row>
    <row r="63" spans="1:16" ht="15" customHeight="1" x14ac:dyDescent="0.35">
      <c r="A63" s="20"/>
      <c r="B63" s="5"/>
      <c r="C63"/>
      <c r="D63" s="10"/>
      <c r="E63" s="10"/>
      <c r="F63" s="10"/>
      <c r="G63" s="1"/>
      <c r="H63" s="1"/>
      <c r="I63" s="1"/>
      <c r="J63" s="1"/>
      <c r="K63" s="20"/>
    </row>
    <row r="64" spans="1:16" ht="15" customHeight="1" x14ac:dyDescent="0.35">
      <c r="A64" s="20"/>
      <c r="B64" s="5"/>
      <c r="K64" s="20"/>
    </row>
    <row r="65" spans="11:11" ht="15" customHeight="1" x14ac:dyDescent="0.35">
      <c r="K65" s="1"/>
    </row>
    <row r="66" spans="11:11" ht="15" customHeight="1" x14ac:dyDescent="0.35">
      <c r="K66" s="1"/>
    </row>
    <row r="69" spans="11:11" ht="15" customHeight="1" x14ac:dyDescent="0.35"/>
    <row r="70" spans="11:11" ht="15" customHeight="1" x14ac:dyDescent="0.35"/>
    <row r="71" spans="11:11" ht="15" customHeight="1" x14ac:dyDescent="0.35"/>
    <row r="72" spans="11:11" ht="15" customHeight="1" x14ac:dyDescent="0.35"/>
    <row r="73" spans="11:11" ht="15" customHeight="1" x14ac:dyDescent="0.35"/>
    <row r="74" spans="11:11" ht="15" customHeight="1" x14ac:dyDescent="0.35"/>
    <row r="75" spans="11:11" ht="15" customHeight="1" x14ac:dyDescent="0.35"/>
    <row r="76" spans="11:11" ht="15" customHeight="1" x14ac:dyDescent="0.35"/>
  </sheetData>
  <autoFilter ref="A4:P54" xr:uid="{00000000-0009-0000-0000-000000000000}">
    <sortState xmlns:xlrd2="http://schemas.microsoft.com/office/spreadsheetml/2017/richdata2" ref="A5:P14">
      <sortCondition ref="C4:C14"/>
    </sortState>
  </autoFilter>
  <pageMargins left="0.70866141732283472" right="0.70866141732283472" top="0.74803149606299213" bottom="0.74803149606299213" header="0.31496062992125984" footer="0.31496062992125984"/>
  <pageSetup scale="3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12B6-4065-4CCC-BC22-E21A5E7276B6}">
  <sheetPr>
    <pageSetUpPr fitToPage="1"/>
  </sheetPr>
  <dimension ref="A2:Q37"/>
  <sheetViews>
    <sheetView showGridLines="0" tabSelected="1" topLeftCell="A4" zoomScaleNormal="100" workbookViewId="0">
      <pane ySplit="1" topLeftCell="A5" activePane="bottomLeft" state="frozen"/>
      <selection activeCell="A4" sqref="A4"/>
      <selection pane="bottomLeft" activeCell="C9" sqref="C9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ht="15" customHeight="1" x14ac:dyDescent="0.35">
      <c r="A5" s="46">
        <v>1</v>
      </c>
      <c r="B5" s="39" t="s">
        <v>78</v>
      </c>
      <c r="C5" s="37">
        <v>46041</v>
      </c>
      <c r="D5" s="38">
        <f>2000+2000</f>
        <v>4000</v>
      </c>
      <c r="E5" s="38"/>
      <c r="F5" s="38"/>
      <c r="G5" s="38">
        <f>+(7641+96+336+5969+108+504+1311+1850+7700+238+367)+(22350+317+111)</f>
        <v>48898</v>
      </c>
      <c r="H5" s="38"/>
      <c r="I5" s="38"/>
      <c r="J5" s="38"/>
      <c r="K5" s="38"/>
      <c r="L5" s="38"/>
      <c r="M5" s="36"/>
      <c r="N5" s="36"/>
      <c r="O5" s="36"/>
      <c r="P5" s="36"/>
      <c r="Q5" s="36"/>
    </row>
    <row r="6" spans="1:17" ht="15" customHeight="1" x14ac:dyDescent="0.35">
      <c r="A6" s="11">
        <v>2</v>
      </c>
      <c r="B6" s="26" t="s">
        <v>65</v>
      </c>
      <c r="C6" s="21">
        <v>46041</v>
      </c>
      <c r="D6" s="33">
        <v>2000</v>
      </c>
      <c r="E6" s="33"/>
      <c r="F6" s="33"/>
      <c r="G6" s="33">
        <f>919+72+566+942+350+600+238+215</f>
        <v>3902</v>
      </c>
      <c r="H6" s="16"/>
      <c r="I6" s="9"/>
      <c r="J6" s="9"/>
      <c r="K6" s="9"/>
      <c r="L6" s="9"/>
      <c r="M6" s="23"/>
      <c r="N6" s="24"/>
      <c r="O6" s="24"/>
      <c r="P6" s="24"/>
      <c r="Q6" s="24"/>
    </row>
    <row r="7" spans="1:17" s="17" customFormat="1" ht="15" customHeight="1" x14ac:dyDescent="0.35">
      <c r="A7" s="46">
        <v>3</v>
      </c>
      <c r="B7" s="39" t="s">
        <v>66</v>
      </c>
      <c r="C7" s="37">
        <v>46048</v>
      </c>
      <c r="D7" s="38">
        <v>2000</v>
      </c>
      <c r="E7" s="38"/>
      <c r="F7" s="38"/>
      <c r="G7" s="38">
        <f>+(828+6517+5238+915+1850+7700+150+340)+(962+1850+7700+340)</f>
        <v>34390</v>
      </c>
      <c r="H7" s="38"/>
      <c r="I7" s="38">
        <f>+G7</f>
        <v>34390</v>
      </c>
      <c r="J7" s="38"/>
      <c r="K7" s="38">
        <f>+I7</f>
        <v>34390</v>
      </c>
      <c r="L7" s="38"/>
      <c r="M7" s="36"/>
      <c r="N7" s="36"/>
      <c r="O7" s="36"/>
      <c r="P7" s="36"/>
      <c r="Q7" s="36"/>
    </row>
    <row r="8" spans="1:17" ht="15" customHeight="1" x14ac:dyDescent="0.35">
      <c r="A8" s="11">
        <v>4</v>
      </c>
      <c r="B8" s="26" t="s">
        <v>67</v>
      </c>
      <c r="C8" s="21">
        <v>46051</v>
      </c>
      <c r="D8" s="33">
        <v>5030</v>
      </c>
      <c r="E8" s="33"/>
      <c r="F8" s="33"/>
      <c r="G8" s="33"/>
      <c r="H8" s="16"/>
      <c r="I8" s="9"/>
      <c r="J8" s="9"/>
      <c r="K8" s="9"/>
      <c r="L8" s="9"/>
      <c r="M8" s="23"/>
      <c r="N8" s="24"/>
      <c r="O8" s="24"/>
      <c r="P8" s="24"/>
      <c r="Q8" s="24"/>
    </row>
    <row r="9" spans="1:17" ht="15" customHeight="1" x14ac:dyDescent="0.35">
      <c r="A9" s="11"/>
      <c r="B9" s="26"/>
      <c r="C9" s="21"/>
      <c r="D9" s="33"/>
      <c r="E9" s="33"/>
      <c r="F9" s="33"/>
      <c r="G9" s="33"/>
      <c r="H9" s="16"/>
      <c r="I9" s="9"/>
      <c r="J9" s="9"/>
      <c r="K9" s="9"/>
      <c r="L9" s="9"/>
      <c r="M9" s="23"/>
      <c r="N9" s="24"/>
      <c r="O9" s="24"/>
      <c r="P9" s="24"/>
      <c r="Q9" s="24"/>
    </row>
    <row r="10" spans="1:17" ht="15" customHeight="1" x14ac:dyDescent="0.35">
      <c r="A10" s="11"/>
      <c r="B10" s="26"/>
      <c r="C10" s="21"/>
      <c r="D10" s="33"/>
      <c r="E10" s="33"/>
      <c r="F10" s="33"/>
      <c r="G10" s="33"/>
      <c r="H10" s="16"/>
      <c r="I10" s="9"/>
      <c r="J10" s="9"/>
      <c r="K10" s="9"/>
      <c r="L10" s="9"/>
      <c r="M10" s="23"/>
      <c r="N10" s="24"/>
      <c r="O10" s="24"/>
      <c r="P10" s="24"/>
      <c r="Q10" s="24"/>
    </row>
    <row r="11" spans="1:17" ht="15" customHeight="1" x14ac:dyDescent="0.35">
      <c r="A11" s="11"/>
      <c r="B11" s="26"/>
      <c r="C11" s="21"/>
      <c r="D11" s="33"/>
      <c r="E11" s="33"/>
      <c r="F11" s="33"/>
      <c r="G11" s="33"/>
      <c r="H11" s="16"/>
      <c r="I11" s="9"/>
      <c r="J11" s="9"/>
      <c r="K11" s="9"/>
      <c r="L11" s="9"/>
      <c r="M11" s="23"/>
      <c r="N11" s="24"/>
      <c r="O11" s="24"/>
      <c r="P11" s="24"/>
      <c r="Q11" s="24"/>
    </row>
    <row r="12" spans="1:17" ht="15" customHeight="1" x14ac:dyDescent="0.35">
      <c r="A12" s="11"/>
      <c r="B12" s="26"/>
      <c r="C12" s="21"/>
      <c r="D12" s="33"/>
      <c r="E12" s="33"/>
      <c r="F12" s="33"/>
      <c r="G12" s="33"/>
      <c r="H12" s="16"/>
      <c r="I12" s="9"/>
      <c r="J12" s="9"/>
      <c r="K12" s="9"/>
      <c r="L12" s="9"/>
      <c r="M12" s="24"/>
      <c r="N12" s="24"/>
      <c r="O12" s="24"/>
      <c r="P12" s="24"/>
      <c r="Q12" s="24"/>
    </row>
    <row r="13" spans="1:17" ht="15" customHeight="1" x14ac:dyDescent="0.35">
      <c r="A13" s="11"/>
      <c r="B13" s="23"/>
      <c r="C13" s="21"/>
      <c r="D13" s="8"/>
      <c r="E13" s="33"/>
      <c r="F13" s="33"/>
      <c r="G13" s="33"/>
      <c r="H13" s="16"/>
      <c r="I13" s="9"/>
      <c r="J13" s="9"/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/>
      <c r="B14" s="23"/>
      <c r="C14" s="21"/>
      <c r="D14" s="8"/>
      <c r="E14" s="33"/>
      <c r="F14" s="33"/>
      <c r="G14" s="16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thickBot="1" x14ac:dyDescent="0.4">
      <c r="B15" s="19" t="s">
        <v>12</v>
      </c>
      <c r="C15" s="18"/>
      <c r="D15" s="22">
        <f>SUM(D5:D12)</f>
        <v>13030</v>
      </c>
      <c r="E15" s="22">
        <f t="shared" ref="E15:L15" si="0">SUM(E5:E14)</f>
        <v>0</v>
      </c>
      <c r="F15" s="22">
        <f t="shared" si="0"/>
        <v>0</v>
      </c>
      <c r="G15" s="22">
        <f t="shared" si="0"/>
        <v>87190</v>
      </c>
      <c r="H15" s="22">
        <f t="shared" si="0"/>
        <v>0</v>
      </c>
      <c r="I15" s="22">
        <f t="shared" si="0"/>
        <v>34390</v>
      </c>
      <c r="J15" s="22">
        <f t="shared" si="0"/>
        <v>0</v>
      </c>
      <c r="K15" s="22">
        <f t="shared" si="0"/>
        <v>34390</v>
      </c>
      <c r="L15" s="22">
        <f t="shared" si="0"/>
        <v>0</v>
      </c>
      <c r="M15" s="24"/>
      <c r="N15" s="24"/>
      <c r="O15" s="24"/>
      <c r="P15" s="24"/>
      <c r="Q15" s="24"/>
    </row>
    <row r="16" spans="1:17" ht="15" customHeight="1" thickTop="1" x14ac:dyDescent="0.35">
      <c r="M16" s="20"/>
      <c r="N16" s="20"/>
      <c r="O16" s="20"/>
      <c r="P16" s="20"/>
      <c r="Q16" s="20"/>
    </row>
    <row r="17" spans="1:11" ht="15" customHeight="1" x14ac:dyDescent="0.35"/>
    <row r="18" spans="1:11" ht="15" customHeight="1" x14ac:dyDescent="0.35"/>
    <row r="19" spans="1:11" ht="15" customHeight="1" x14ac:dyDescent="0.35"/>
    <row r="20" spans="1:11" ht="15" customHeight="1" x14ac:dyDescent="0.35">
      <c r="B20" s="12"/>
      <c r="C20"/>
      <c r="D20" s="6"/>
      <c r="E20" s="6"/>
      <c r="F20" s="6"/>
      <c r="G20" s="1"/>
      <c r="H20" s="1"/>
      <c r="I20" s="1"/>
      <c r="J20" s="1"/>
    </row>
    <row r="21" spans="1:11" ht="15" customHeight="1" x14ac:dyDescent="0.35">
      <c r="B21" s="5"/>
      <c r="C21"/>
      <c r="D21" s="6"/>
      <c r="E21" s="6"/>
      <c r="F21" s="6"/>
      <c r="G21" s="1"/>
      <c r="H21" s="1"/>
      <c r="I21" s="1"/>
      <c r="J21" s="1"/>
    </row>
    <row r="22" spans="1:11" ht="15" customHeight="1" x14ac:dyDescent="0.35">
      <c r="B22" s="5"/>
      <c r="C22"/>
      <c r="D22" s="6"/>
      <c r="E22" s="6"/>
      <c r="F22" s="6"/>
      <c r="G22" s="1"/>
      <c r="H22" s="1"/>
      <c r="I22" s="1"/>
      <c r="J22" s="1"/>
    </row>
    <row r="23" spans="1:11" ht="15" customHeight="1" x14ac:dyDescent="0.35">
      <c r="B23" s="5"/>
      <c r="C23"/>
      <c r="D23" s="10"/>
      <c r="E23" s="10"/>
      <c r="F23" s="10"/>
      <c r="G23" s="1"/>
      <c r="H23" s="1"/>
      <c r="I23" s="1"/>
      <c r="J23" s="1"/>
    </row>
    <row r="24" spans="1:11" ht="15" customHeight="1" x14ac:dyDescent="0.35">
      <c r="A24" s="20"/>
      <c r="B24" s="5"/>
      <c r="C24"/>
      <c r="D24" s="10"/>
      <c r="E24" s="10"/>
      <c r="F24" s="10"/>
      <c r="G24" s="1"/>
      <c r="H24" s="1"/>
      <c r="I24" s="1"/>
      <c r="J24" s="1"/>
      <c r="K24" s="20"/>
    </row>
    <row r="25" spans="1:11" ht="15" customHeight="1" x14ac:dyDescent="0.35">
      <c r="A25" s="20"/>
      <c r="B25" s="5"/>
      <c r="K25" s="20"/>
    </row>
    <row r="26" spans="1:11" ht="15" customHeight="1" x14ac:dyDescent="0.35">
      <c r="K26" s="1"/>
    </row>
    <row r="27" spans="1:11" ht="15" customHeight="1" x14ac:dyDescent="0.35">
      <c r="K27" s="1"/>
    </row>
    <row r="30" spans="1:11" ht="15" customHeight="1" x14ac:dyDescent="0.35"/>
    <row r="31" spans="1:11" ht="15" customHeight="1" x14ac:dyDescent="0.35"/>
    <row r="32" spans="1:11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autoFilter ref="A4:Q15" xr:uid="{00000000-0009-0000-0000-000000000000}">
    <sortState xmlns:xlrd2="http://schemas.microsoft.com/office/spreadsheetml/2017/richdata2" ref="A5:Q9">
      <sortCondition ref="C4:C9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EF631-F439-454A-B09A-4F636AA562C8}">
  <sheetPr>
    <pageSetUpPr fitToPage="1"/>
  </sheetPr>
  <dimension ref="A2:Q37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A7" sqref="A7:XFD7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ht="15" customHeight="1" x14ac:dyDescent="0.35">
      <c r="A5" s="11">
        <v>1</v>
      </c>
      <c r="B5" s="26" t="s">
        <v>79</v>
      </c>
      <c r="C5" s="21">
        <v>46056</v>
      </c>
      <c r="D5" s="33">
        <v>2000</v>
      </c>
      <c r="E5" s="33"/>
      <c r="F5" s="33"/>
      <c r="G5" s="33"/>
      <c r="H5" s="16"/>
      <c r="I5" s="9"/>
      <c r="J5" s="9"/>
      <c r="K5" s="9"/>
      <c r="L5" s="9"/>
      <c r="M5" s="23"/>
      <c r="N5" s="24"/>
      <c r="O5" s="24"/>
      <c r="P5" s="24"/>
      <c r="Q5" s="24"/>
    </row>
    <row r="6" spans="1:17" ht="15" customHeight="1" x14ac:dyDescent="0.35">
      <c r="A6" s="11">
        <v>2</v>
      </c>
      <c r="B6" s="26" t="s">
        <v>80</v>
      </c>
      <c r="C6" s="21">
        <v>46057</v>
      </c>
      <c r="D6" s="33">
        <f>5922+450</f>
        <v>6372</v>
      </c>
      <c r="E6" s="33"/>
      <c r="F6" s="33"/>
      <c r="G6" s="33"/>
      <c r="H6" s="16"/>
      <c r="I6" s="9"/>
      <c r="J6" s="9"/>
      <c r="K6" s="9"/>
      <c r="L6" s="9"/>
      <c r="M6" s="23"/>
      <c r="N6" s="24"/>
      <c r="O6" s="24"/>
      <c r="P6" s="24"/>
      <c r="Q6" s="24"/>
    </row>
    <row r="7" spans="1:17" ht="15" customHeight="1" x14ac:dyDescent="0.35">
      <c r="A7" s="11"/>
      <c r="B7" s="26"/>
      <c r="C7" s="21"/>
      <c r="D7" s="33"/>
      <c r="E7" s="33"/>
      <c r="F7" s="33"/>
      <c r="G7" s="33"/>
      <c r="H7" s="16"/>
      <c r="I7" s="9"/>
      <c r="J7" s="9"/>
      <c r="K7" s="9"/>
      <c r="L7" s="9"/>
      <c r="M7" s="23"/>
      <c r="N7" s="24"/>
      <c r="O7" s="24"/>
      <c r="P7" s="24"/>
      <c r="Q7" s="24"/>
    </row>
    <row r="8" spans="1:17" ht="15" customHeight="1" x14ac:dyDescent="0.35">
      <c r="A8" s="11"/>
      <c r="B8" s="26"/>
      <c r="C8" s="21"/>
      <c r="D8" s="33"/>
      <c r="E8" s="33"/>
      <c r="F8" s="33"/>
      <c r="G8" s="33"/>
      <c r="H8" s="16"/>
      <c r="I8" s="9"/>
      <c r="J8" s="9"/>
      <c r="K8" s="9"/>
      <c r="L8" s="9"/>
      <c r="M8" s="23"/>
      <c r="N8" s="24"/>
      <c r="O8" s="24"/>
      <c r="P8" s="24"/>
      <c r="Q8" s="24"/>
    </row>
    <row r="9" spans="1:17" ht="15" customHeight="1" x14ac:dyDescent="0.35">
      <c r="A9" s="11"/>
      <c r="B9" s="26"/>
      <c r="C9" s="21"/>
      <c r="D9" s="33"/>
      <c r="E9" s="33"/>
      <c r="F9" s="33"/>
      <c r="G9" s="33"/>
      <c r="H9" s="16"/>
      <c r="I9" s="9"/>
      <c r="J9" s="9"/>
      <c r="K9" s="9"/>
      <c r="L9" s="9"/>
      <c r="M9" s="23"/>
      <c r="N9" s="24"/>
      <c r="O9" s="24"/>
      <c r="P9" s="24"/>
      <c r="Q9" s="24"/>
    </row>
    <row r="10" spans="1:17" ht="15" customHeight="1" x14ac:dyDescent="0.35">
      <c r="A10" s="11"/>
      <c r="B10" s="26"/>
      <c r="C10" s="21"/>
      <c r="D10" s="33"/>
      <c r="E10" s="33"/>
      <c r="F10" s="33"/>
      <c r="G10" s="33"/>
      <c r="H10" s="16"/>
      <c r="I10" s="9"/>
      <c r="J10" s="9"/>
      <c r="K10" s="9"/>
      <c r="L10" s="9"/>
      <c r="M10" s="23"/>
      <c r="N10" s="24"/>
      <c r="O10" s="24"/>
      <c r="P10" s="24"/>
      <c r="Q10" s="24"/>
    </row>
    <row r="11" spans="1:17" ht="15" customHeight="1" x14ac:dyDescent="0.35">
      <c r="A11" s="11"/>
      <c r="B11" s="26"/>
      <c r="C11" s="21"/>
      <c r="D11" s="33"/>
      <c r="E11" s="33"/>
      <c r="F11" s="33"/>
      <c r="G11" s="33"/>
      <c r="H11" s="16"/>
      <c r="I11" s="9"/>
      <c r="J11" s="9"/>
      <c r="K11" s="9"/>
      <c r="L11" s="9"/>
      <c r="M11" s="23"/>
      <c r="N11" s="24"/>
      <c r="O11" s="24"/>
      <c r="P11" s="24"/>
      <c r="Q11" s="24"/>
    </row>
    <row r="12" spans="1:17" ht="15" customHeight="1" x14ac:dyDescent="0.35">
      <c r="A12" s="11"/>
      <c r="B12" s="26"/>
      <c r="C12" s="21"/>
      <c r="D12" s="33"/>
      <c r="E12" s="33"/>
      <c r="F12" s="33"/>
      <c r="G12" s="33"/>
      <c r="H12" s="16"/>
      <c r="I12" s="9"/>
      <c r="J12" s="9"/>
      <c r="K12" s="9"/>
      <c r="L12" s="9"/>
      <c r="M12" s="24"/>
      <c r="N12" s="24"/>
      <c r="O12" s="24"/>
      <c r="P12" s="24"/>
      <c r="Q12" s="24"/>
    </row>
    <row r="13" spans="1:17" ht="15" customHeight="1" x14ac:dyDescent="0.35">
      <c r="A13" s="11"/>
      <c r="B13" s="23"/>
      <c r="C13" s="21"/>
      <c r="D13" s="8"/>
      <c r="E13" s="33"/>
      <c r="F13" s="33"/>
      <c r="G13" s="33"/>
      <c r="H13" s="16"/>
      <c r="I13" s="9"/>
      <c r="J13" s="9"/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/>
      <c r="B14" s="23"/>
      <c r="C14" s="21"/>
      <c r="D14" s="8"/>
      <c r="E14" s="33"/>
      <c r="F14" s="33"/>
      <c r="G14" s="16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thickBot="1" x14ac:dyDescent="0.4">
      <c r="B15" s="19" t="s">
        <v>12</v>
      </c>
      <c r="C15" s="18"/>
      <c r="D15" s="22">
        <f>SUM(D5:D12)</f>
        <v>8372</v>
      </c>
      <c r="E15" s="22">
        <f t="shared" ref="E15:L15" si="0">SUM(E5:E14)</f>
        <v>0</v>
      </c>
      <c r="F15" s="22">
        <f t="shared" si="0"/>
        <v>0</v>
      </c>
      <c r="G15" s="22">
        <f t="shared" si="0"/>
        <v>0</v>
      </c>
      <c r="H15" s="22">
        <f t="shared" si="0"/>
        <v>0</v>
      </c>
      <c r="I15" s="22">
        <f t="shared" si="0"/>
        <v>0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4"/>
      <c r="N15" s="24"/>
      <c r="O15" s="24"/>
      <c r="P15" s="24"/>
      <c r="Q15" s="24"/>
    </row>
    <row r="16" spans="1:17" ht="15" customHeight="1" thickTop="1" x14ac:dyDescent="0.35">
      <c r="M16" s="20"/>
      <c r="N16" s="20"/>
      <c r="O16" s="20"/>
      <c r="P16" s="20"/>
      <c r="Q16" s="20"/>
    </row>
    <row r="17" spans="1:11" ht="15" customHeight="1" x14ac:dyDescent="0.35"/>
    <row r="18" spans="1:11" ht="15" customHeight="1" x14ac:dyDescent="0.35"/>
    <row r="19" spans="1:11" ht="15" customHeight="1" x14ac:dyDescent="0.35"/>
    <row r="20" spans="1:11" ht="15" customHeight="1" x14ac:dyDescent="0.35">
      <c r="B20" s="12"/>
      <c r="C20"/>
      <c r="D20" s="6"/>
      <c r="E20" s="6"/>
      <c r="F20" s="6"/>
      <c r="G20" s="1"/>
      <c r="H20" s="1"/>
      <c r="I20" s="1"/>
      <c r="J20" s="1"/>
    </row>
    <row r="21" spans="1:11" ht="15" customHeight="1" x14ac:dyDescent="0.35">
      <c r="B21" s="5"/>
      <c r="C21"/>
      <c r="D21" s="6"/>
      <c r="E21" s="6"/>
      <c r="F21" s="6"/>
      <c r="G21" s="1"/>
      <c r="H21" s="1"/>
      <c r="I21" s="1"/>
      <c r="J21" s="1"/>
    </row>
    <row r="22" spans="1:11" ht="15" customHeight="1" x14ac:dyDescent="0.35">
      <c r="B22" s="5"/>
      <c r="C22"/>
      <c r="D22" s="6"/>
      <c r="E22" s="6"/>
      <c r="F22" s="6"/>
      <c r="G22" s="1"/>
      <c r="H22" s="1"/>
      <c r="I22" s="1"/>
      <c r="J22" s="1"/>
    </row>
    <row r="23" spans="1:11" ht="15" customHeight="1" x14ac:dyDescent="0.35">
      <c r="B23" s="5"/>
      <c r="C23"/>
      <c r="D23" s="10"/>
      <c r="E23" s="10"/>
      <c r="F23" s="10"/>
      <c r="G23" s="1"/>
      <c r="H23" s="1"/>
      <c r="I23" s="1"/>
      <c r="J23" s="1"/>
    </row>
    <row r="24" spans="1:11" ht="15" customHeight="1" x14ac:dyDescent="0.35">
      <c r="A24" s="20"/>
      <c r="B24" s="5"/>
      <c r="C24"/>
      <c r="D24" s="10"/>
      <c r="E24" s="10"/>
      <c r="F24" s="10"/>
      <c r="G24" s="1"/>
      <c r="H24" s="1"/>
      <c r="I24" s="1"/>
      <c r="J24" s="1"/>
      <c r="K24" s="20"/>
    </row>
    <row r="25" spans="1:11" ht="15" customHeight="1" x14ac:dyDescent="0.35">
      <c r="A25" s="20"/>
      <c r="B25" s="5"/>
      <c r="K25" s="20"/>
    </row>
    <row r="26" spans="1:11" ht="15" customHeight="1" x14ac:dyDescent="0.35">
      <c r="K26" s="1"/>
    </row>
    <row r="27" spans="1:11" ht="15" customHeight="1" x14ac:dyDescent="0.35">
      <c r="K27" s="1"/>
    </row>
    <row r="30" spans="1:11" ht="15" customHeight="1" x14ac:dyDescent="0.35"/>
    <row r="31" spans="1:11" ht="15" customHeight="1" x14ac:dyDescent="0.35"/>
    <row r="32" spans="1:11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autoFilter ref="A4:Q15" xr:uid="{00000000-0009-0000-0000-000000000000}">
    <sortState xmlns:xlrd2="http://schemas.microsoft.com/office/spreadsheetml/2017/richdata2" ref="A5:Q9">
      <sortCondition ref="C4:C9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B1B8-EF47-4F9C-B420-29BD2B6D19C9}">
  <sheetPr>
    <pageSetUpPr fitToPage="1"/>
  </sheetPr>
  <dimension ref="A2:Q37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C11" sqref="C11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ht="15" customHeight="1" x14ac:dyDescent="0.35">
      <c r="A5" s="11">
        <v>1</v>
      </c>
      <c r="B5" s="26" t="s">
        <v>68</v>
      </c>
      <c r="C5" s="21">
        <v>46088</v>
      </c>
      <c r="D5" s="33">
        <v>3000</v>
      </c>
      <c r="E5" s="33"/>
      <c r="F5" s="33"/>
      <c r="G5" s="33">
        <f>+(1405+168+1956+420+928+350+600+238+198)</f>
        <v>6263</v>
      </c>
      <c r="H5" s="16"/>
      <c r="I5" s="9"/>
      <c r="J5" s="9"/>
      <c r="K5" s="9"/>
      <c r="L5" s="9"/>
      <c r="M5" s="23"/>
      <c r="N5" s="24"/>
      <c r="O5" s="24"/>
      <c r="P5" s="24"/>
      <c r="Q5" s="24"/>
    </row>
    <row r="6" spans="1:17" s="17" customFormat="1" ht="15" customHeight="1" x14ac:dyDescent="0.35">
      <c r="A6" s="46">
        <v>2</v>
      </c>
      <c r="B6" s="39" t="s">
        <v>82</v>
      </c>
      <c r="C6" s="37">
        <v>46090</v>
      </c>
      <c r="D6" s="38">
        <v>2000</v>
      </c>
      <c r="E6" s="38"/>
      <c r="F6" s="38"/>
      <c r="G6" s="38">
        <f>+(7629+332+5875+497+1123+350+7700+403)</f>
        <v>23909</v>
      </c>
      <c r="H6" s="38"/>
      <c r="I6" s="38"/>
      <c r="J6" s="38"/>
      <c r="K6" s="38"/>
      <c r="L6" s="38"/>
      <c r="M6" s="36"/>
      <c r="N6" s="36"/>
      <c r="O6" s="36"/>
      <c r="P6" s="36"/>
      <c r="Q6" s="36"/>
    </row>
    <row r="7" spans="1:17" ht="15" customHeight="1" x14ac:dyDescent="0.35">
      <c r="A7" s="11">
        <v>3</v>
      </c>
      <c r="B7" s="26" t="s">
        <v>69</v>
      </c>
      <c r="C7" s="21">
        <v>46092</v>
      </c>
      <c r="D7" s="33">
        <f>3000+400</f>
        <v>3400</v>
      </c>
      <c r="E7" s="33"/>
      <c r="F7" s="33"/>
      <c r="G7" s="33">
        <f>917+165+274+920+14+1850+600+181+400</f>
        <v>5321</v>
      </c>
      <c r="H7" s="16"/>
      <c r="I7" s="9"/>
      <c r="J7" s="9"/>
      <c r="K7" s="9"/>
      <c r="L7" s="9"/>
      <c r="M7" s="23"/>
      <c r="N7" s="24"/>
      <c r="O7" s="24"/>
      <c r="P7" s="24"/>
      <c r="Q7" s="24"/>
    </row>
    <row r="8" spans="1:17" s="17" customFormat="1" ht="15" customHeight="1" x14ac:dyDescent="0.35">
      <c r="A8" s="46">
        <v>4</v>
      </c>
      <c r="B8" s="39" t="s">
        <v>83</v>
      </c>
      <c r="C8" s="37">
        <v>46101</v>
      </c>
      <c r="D8" s="38">
        <f>2000+2000</f>
        <v>4000</v>
      </c>
      <c r="E8" s="38"/>
      <c r="F8" s="38"/>
      <c r="G8" s="38">
        <f>(7757+5956+311+1507+1850+7700+425)+(37800+344+271)</f>
        <v>63921</v>
      </c>
      <c r="H8" s="38"/>
      <c r="I8" s="38"/>
      <c r="J8" s="38"/>
      <c r="K8" s="38"/>
      <c r="L8" s="38"/>
      <c r="M8" s="36"/>
      <c r="N8" s="36"/>
      <c r="O8" s="36"/>
      <c r="P8" s="36"/>
      <c r="Q8" s="36"/>
    </row>
    <row r="9" spans="1:17" ht="15" customHeight="1" x14ac:dyDescent="0.35">
      <c r="A9" s="11">
        <v>5</v>
      </c>
      <c r="B9" s="26" t="s">
        <v>70</v>
      </c>
      <c r="C9" s="21">
        <v>46098</v>
      </c>
      <c r="D9" s="33">
        <v>3000</v>
      </c>
      <c r="E9" s="33"/>
      <c r="F9" s="33"/>
      <c r="G9" s="33">
        <f>471+181+302+1097+54+350+600+266</f>
        <v>3321</v>
      </c>
      <c r="H9" s="16"/>
      <c r="I9" s="9"/>
      <c r="J9" s="9"/>
      <c r="K9" s="9"/>
      <c r="L9" s="9"/>
      <c r="M9" s="23"/>
      <c r="N9" s="24"/>
      <c r="O9" s="24"/>
      <c r="P9" s="24"/>
      <c r="Q9" s="24"/>
    </row>
    <row r="10" spans="1:17" ht="15" customHeight="1" x14ac:dyDescent="0.35">
      <c r="A10" s="11">
        <v>6</v>
      </c>
      <c r="B10" s="26" t="s">
        <v>71</v>
      </c>
      <c r="C10" s="21">
        <v>46100</v>
      </c>
      <c r="D10" s="33">
        <f>6464+450</f>
        <v>6914</v>
      </c>
      <c r="E10" s="33"/>
      <c r="F10" s="33"/>
      <c r="G10" s="33"/>
      <c r="H10" s="16"/>
      <c r="I10" s="9"/>
      <c r="J10" s="9"/>
      <c r="K10" s="9"/>
      <c r="L10" s="9"/>
      <c r="M10" s="23"/>
      <c r="N10" s="24"/>
      <c r="O10" s="24"/>
      <c r="P10" s="24"/>
      <c r="Q10" s="24"/>
    </row>
    <row r="11" spans="1:17" s="17" customFormat="1" ht="15" customHeight="1" x14ac:dyDescent="0.35">
      <c r="A11" s="46">
        <v>7</v>
      </c>
      <c r="B11" s="39" t="s">
        <v>81</v>
      </c>
      <c r="C11" s="37">
        <v>46085</v>
      </c>
      <c r="D11" s="38">
        <f>2000+2000</f>
        <v>4000</v>
      </c>
      <c r="E11" s="38"/>
      <c r="F11" s="38"/>
      <c r="G11" s="38">
        <f>+(7859+288+419+5754+90+628+1300+1850+7700+236+2755+1850)+(575+37800+469+240)</f>
        <v>69813</v>
      </c>
      <c r="H11" s="38"/>
      <c r="I11" s="38"/>
      <c r="J11" s="38"/>
      <c r="K11" s="38"/>
      <c r="L11" s="38"/>
      <c r="M11" s="36"/>
      <c r="N11" s="36"/>
      <c r="O11" s="36"/>
      <c r="P11" s="36"/>
      <c r="Q11" s="36"/>
    </row>
    <row r="12" spans="1:17" ht="15" customHeight="1" x14ac:dyDescent="0.35">
      <c r="A12" s="11"/>
      <c r="B12" s="26"/>
      <c r="C12" s="21"/>
      <c r="D12" s="33"/>
      <c r="E12" s="33"/>
      <c r="F12" s="33"/>
      <c r="G12" s="33"/>
      <c r="H12" s="16"/>
      <c r="I12" s="9"/>
      <c r="J12" s="9"/>
      <c r="K12" s="9"/>
      <c r="L12" s="9"/>
      <c r="M12" s="24"/>
      <c r="N12" s="24"/>
      <c r="O12" s="24"/>
      <c r="P12" s="24"/>
      <c r="Q12" s="24"/>
    </row>
    <row r="13" spans="1:17" ht="15" customHeight="1" x14ac:dyDescent="0.35">
      <c r="A13" s="11"/>
      <c r="B13" s="23"/>
      <c r="C13" s="21"/>
      <c r="D13" s="8"/>
      <c r="E13" s="33"/>
      <c r="F13" s="33"/>
      <c r="G13" s="33"/>
      <c r="H13" s="16"/>
      <c r="I13" s="9"/>
      <c r="J13" s="9"/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/>
      <c r="B14" s="23"/>
      <c r="C14" s="21"/>
      <c r="D14" s="8"/>
      <c r="E14" s="33"/>
      <c r="F14" s="33"/>
      <c r="G14" s="16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thickBot="1" x14ac:dyDescent="0.4">
      <c r="B15" s="19" t="s">
        <v>12</v>
      </c>
      <c r="C15" s="18"/>
      <c r="D15" s="22">
        <f>SUM(D5:D12)</f>
        <v>26314</v>
      </c>
      <c r="E15" s="22">
        <f t="shared" ref="E15:L15" si="0">SUM(E5:E14)</f>
        <v>0</v>
      </c>
      <c r="F15" s="22">
        <f t="shared" si="0"/>
        <v>0</v>
      </c>
      <c r="G15" s="22">
        <f t="shared" si="0"/>
        <v>172548</v>
      </c>
      <c r="H15" s="22">
        <f t="shared" si="0"/>
        <v>0</v>
      </c>
      <c r="I15" s="22">
        <f t="shared" si="0"/>
        <v>0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4"/>
      <c r="N15" s="24"/>
      <c r="O15" s="24"/>
      <c r="P15" s="24"/>
      <c r="Q15" s="24"/>
    </row>
    <row r="16" spans="1:17" ht="15" customHeight="1" thickTop="1" x14ac:dyDescent="0.35">
      <c r="M16" s="20"/>
      <c r="N16" s="20"/>
      <c r="O16" s="20"/>
      <c r="P16" s="20"/>
      <c r="Q16" s="20"/>
    </row>
    <row r="17" spans="1:11" ht="15" customHeight="1" x14ac:dyDescent="0.35"/>
    <row r="18" spans="1:11" ht="15" customHeight="1" x14ac:dyDescent="0.35"/>
    <row r="19" spans="1:11" ht="15" customHeight="1" x14ac:dyDescent="0.35"/>
    <row r="20" spans="1:11" ht="15" customHeight="1" x14ac:dyDescent="0.35">
      <c r="B20" s="12"/>
      <c r="C20"/>
      <c r="D20" s="6"/>
      <c r="E20" s="6"/>
      <c r="F20" s="6"/>
      <c r="G20" s="1"/>
      <c r="H20" s="1"/>
      <c r="I20" s="1"/>
      <c r="J20" s="1"/>
    </row>
    <row r="21" spans="1:11" ht="15" customHeight="1" x14ac:dyDescent="0.35">
      <c r="B21" s="5"/>
      <c r="C21"/>
      <c r="D21" s="6"/>
      <c r="E21" s="6"/>
      <c r="F21" s="6"/>
      <c r="G21" s="1"/>
      <c r="H21" s="1"/>
      <c r="I21" s="1"/>
      <c r="J21" s="1"/>
    </row>
    <row r="22" spans="1:11" ht="15" customHeight="1" x14ac:dyDescent="0.35">
      <c r="B22" s="5"/>
      <c r="C22"/>
      <c r="D22" s="6"/>
      <c r="E22" s="6"/>
      <c r="F22" s="6"/>
      <c r="G22" s="1"/>
      <c r="H22" s="1"/>
      <c r="I22" s="1"/>
      <c r="J22" s="1"/>
    </row>
    <row r="23" spans="1:11" ht="15" customHeight="1" x14ac:dyDescent="0.35">
      <c r="B23" s="5"/>
      <c r="C23"/>
      <c r="D23" s="10"/>
      <c r="E23" s="10"/>
      <c r="F23" s="10"/>
      <c r="G23" s="1"/>
      <c r="H23" s="1"/>
      <c r="I23" s="1"/>
      <c r="J23" s="1"/>
    </row>
    <row r="24" spans="1:11" ht="15" customHeight="1" x14ac:dyDescent="0.35">
      <c r="A24" s="20"/>
      <c r="B24" s="5"/>
      <c r="C24"/>
      <c r="D24" s="10"/>
      <c r="E24" s="10"/>
      <c r="F24" s="10"/>
      <c r="G24" s="1"/>
      <c r="H24" s="1"/>
      <c r="I24" s="1"/>
      <c r="J24" s="1"/>
      <c r="K24" s="20"/>
    </row>
    <row r="25" spans="1:11" ht="15" customHeight="1" x14ac:dyDescent="0.35">
      <c r="A25" s="20"/>
      <c r="B25" s="5"/>
      <c r="K25" s="20"/>
    </row>
    <row r="26" spans="1:11" ht="15" customHeight="1" x14ac:dyDescent="0.35">
      <c r="K26" s="1"/>
    </row>
    <row r="27" spans="1:11" ht="15" customHeight="1" x14ac:dyDescent="0.35">
      <c r="K27" s="1"/>
    </row>
    <row r="30" spans="1:11" ht="15" customHeight="1" x14ac:dyDescent="0.35"/>
    <row r="31" spans="1:11" ht="15" customHeight="1" x14ac:dyDescent="0.35"/>
    <row r="32" spans="1:11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autoFilter ref="A4:Q15" xr:uid="{00000000-0009-0000-0000-000000000000}">
    <sortState xmlns:xlrd2="http://schemas.microsoft.com/office/spreadsheetml/2017/richdata2" ref="A5:Q9">
      <sortCondition ref="C4:C9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9962-C87A-4C26-8B12-BCA31E2821DE}">
  <sheetPr>
    <pageSetUpPr fitToPage="1"/>
  </sheetPr>
  <dimension ref="A2:Q37"/>
  <sheetViews>
    <sheetView showGridLines="0" topLeftCell="A4" zoomScaleNormal="100" workbookViewId="0">
      <pane ySplit="1" topLeftCell="A5" activePane="bottomLeft" state="frozen"/>
      <selection activeCell="A4" sqref="A4"/>
      <selection pane="bottomLeft" activeCell="C5" sqref="C5:C10"/>
    </sheetView>
  </sheetViews>
  <sheetFormatPr baseColWidth="10" defaultColWidth="11.453125" defaultRowHeight="14.5" x14ac:dyDescent="0.35"/>
  <cols>
    <col min="1" max="1" width="5.81640625" customWidth="1"/>
    <col min="2" max="2" width="33.54296875" style="3" customWidth="1"/>
    <col min="3" max="3" width="12.1796875" style="2" customWidth="1"/>
    <col min="4" max="4" width="15.453125" customWidth="1"/>
    <col min="5" max="5" width="15.54296875" bestFit="1" customWidth="1"/>
    <col min="6" max="6" width="15.54296875" customWidth="1"/>
    <col min="7" max="7" width="17.54296875" bestFit="1" customWidth="1"/>
    <col min="8" max="8" width="17.54296875" customWidth="1"/>
    <col min="9" max="9" width="18.1796875" bestFit="1" customWidth="1"/>
    <col min="10" max="10" width="14.7265625" customWidth="1"/>
    <col min="11" max="11" width="14.1796875" customWidth="1"/>
    <col min="12" max="12" width="28.453125" customWidth="1"/>
    <col min="13" max="13" width="18.453125" bestFit="1" customWidth="1"/>
    <col min="14" max="14" width="12.54296875" bestFit="1" customWidth="1"/>
    <col min="15" max="15" width="15.1796875" bestFit="1" customWidth="1"/>
    <col min="16" max="16" width="28.1796875" bestFit="1" customWidth="1"/>
    <col min="17" max="17" width="17.453125" bestFit="1" customWidth="1"/>
  </cols>
  <sheetData>
    <row r="2" spans="1:17" x14ac:dyDescent="0.35">
      <c r="B2" s="3" t="s">
        <v>0</v>
      </c>
    </row>
    <row r="3" spans="1:17" ht="18.5" x14ac:dyDescent="0.45">
      <c r="B3" s="4" t="s">
        <v>1</v>
      </c>
      <c r="C3" s="7">
        <v>45444</v>
      </c>
      <c r="K3" s="1" t="s">
        <v>0</v>
      </c>
    </row>
    <row r="4" spans="1:17" ht="30.65" customHeight="1" x14ac:dyDescent="0.35">
      <c r="A4" s="13" t="s">
        <v>2</v>
      </c>
      <c r="B4" s="14" t="s">
        <v>3</v>
      </c>
      <c r="C4" s="15" t="s">
        <v>4</v>
      </c>
      <c r="D4" s="13" t="s">
        <v>5</v>
      </c>
      <c r="E4" s="13" t="s">
        <v>15</v>
      </c>
      <c r="F4" s="13" t="s">
        <v>13</v>
      </c>
      <c r="G4" s="13" t="s">
        <v>6</v>
      </c>
      <c r="H4" s="13" t="s">
        <v>14</v>
      </c>
      <c r="I4" s="13" t="s">
        <v>7</v>
      </c>
      <c r="J4" s="13" t="s">
        <v>54</v>
      </c>
      <c r="K4" s="13" t="s">
        <v>53</v>
      </c>
      <c r="L4" s="13" t="s">
        <v>55</v>
      </c>
      <c r="M4" s="15"/>
      <c r="N4" s="15" t="s">
        <v>8</v>
      </c>
      <c r="O4" s="15" t="s">
        <v>9</v>
      </c>
      <c r="P4" s="15" t="s">
        <v>10</v>
      </c>
      <c r="Q4" s="15" t="s">
        <v>11</v>
      </c>
    </row>
    <row r="5" spans="1:17" ht="15" customHeight="1" x14ac:dyDescent="0.35">
      <c r="A5" s="11">
        <v>1</v>
      </c>
      <c r="B5" s="26" t="s">
        <v>72</v>
      </c>
      <c r="C5" s="21" t="s">
        <v>84</v>
      </c>
      <c r="D5" s="33">
        <v>6133</v>
      </c>
      <c r="E5" s="33"/>
      <c r="F5" s="33"/>
      <c r="G5" s="33"/>
      <c r="H5" s="16"/>
      <c r="I5" s="9"/>
      <c r="J5" s="9"/>
      <c r="K5" s="9"/>
      <c r="L5" s="9"/>
      <c r="M5" s="23"/>
      <c r="N5" s="24"/>
      <c r="O5" s="24"/>
      <c r="P5" s="24"/>
      <c r="Q5" s="24"/>
    </row>
    <row r="6" spans="1:17" ht="15" customHeight="1" x14ac:dyDescent="0.35">
      <c r="A6" s="11">
        <v>2</v>
      </c>
      <c r="B6" s="26" t="s">
        <v>73</v>
      </c>
      <c r="C6" s="21" t="s">
        <v>84</v>
      </c>
      <c r="D6" s="33"/>
      <c r="E6" s="33"/>
      <c r="F6" s="33"/>
      <c r="G6" s="33"/>
      <c r="H6" s="16"/>
      <c r="I6" s="9"/>
      <c r="J6" s="9"/>
      <c r="K6" s="9"/>
      <c r="L6" s="9"/>
      <c r="M6" s="23"/>
      <c r="N6" s="24"/>
      <c r="O6" s="24"/>
      <c r="P6" s="24"/>
      <c r="Q6" s="24"/>
    </row>
    <row r="7" spans="1:17" ht="15" customHeight="1" x14ac:dyDescent="0.35">
      <c r="A7" s="11">
        <v>3</v>
      </c>
      <c r="B7" s="26" t="s">
        <v>74</v>
      </c>
      <c r="C7" s="21" t="s">
        <v>84</v>
      </c>
      <c r="D7" s="33"/>
      <c r="E7" s="33"/>
      <c r="F7" s="33"/>
      <c r="G7" s="33"/>
      <c r="H7" s="16"/>
      <c r="I7" s="9"/>
      <c r="J7" s="9"/>
      <c r="K7" s="9"/>
      <c r="L7" s="9"/>
      <c r="M7" s="23"/>
      <c r="N7" s="24"/>
      <c r="O7" s="24"/>
      <c r="P7" s="24"/>
      <c r="Q7" s="24"/>
    </row>
    <row r="8" spans="1:17" ht="15" customHeight="1" x14ac:dyDescent="0.35">
      <c r="A8" s="11">
        <v>4</v>
      </c>
      <c r="B8" s="26" t="s">
        <v>75</v>
      </c>
      <c r="C8" s="21" t="s">
        <v>84</v>
      </c>
      <c r="D8" s="33"/>
      <c r="E8" s="33"/>
      <c r="F8" s="33"/>
      <c r="G8" s="33"/>
      <c r="H8" s="16"/>
      <c r="I8" s="9"/>
      <c r="J8" s="9"/>
      <c r="K8" s="9"/>
      <c r="L8" s="9"/>
      <c r="M8" s="23"/>
      <c r="N8" s="24"/>
      <c r="O8" s="24"/>
      <c r="P8" s="24"/>
      <c r="Q8" s="24"/>
    </row>
    <row r="9" spans="1:17" ht="15" customHeight="1" x14ac:dyDescent="0.35">
      <c r="A9" s="11">
        <v>5</v>
      </c>
      <c r="B9" s="26" t="s">
        <v>76</v>
      </c>
      <c r="C9" s="21" t="s">
        <v>84</v>
      </c>
      <c r="D9" s="33">
        <f>5922+450</f>
        <v>6372</v>
      </c>
      <c r="E9" s="33"/>
      <c r="F9" s="33"/>
      <c r="G9" s="33"/>
      <c r="H9" s="16"/>
      <c r="I9" s="9"/>
      <c r="J9" s="9"/>
      <c r="K9" s="9"/>
      <c r="L9" s="9"/>
      <c r="M9" s="23"/>
      <c r="N9" s="24"/>
      <c r="O9" s="24"/>
      <c r="P9" s="24"/>
      <c r="Q9" s="24"/>
    </row>
    <row r="10" spans="1:17" ht="15" customHeight="1" x14ac:dyDescent="0.35">
      <c r="A10" s="11">
        <v>6</v>
      </c>
      <c r="B10" s="26" t="s">
        <v>77</v>
      </c>
      <c r="C10" s="21" t="s">
        <v>84</v>
      </c>
      <c r="D10" s="33"/>
      <c r="E10" s="33"/>
      <c r="F10" s="33"/>
      <c r="G10" s="33"/>
      <c r="H10" s="16"/>
      <c r="I10" s="9"/>
      <c r="J10" s="9"/>
      <c r="K10" s="9"/>
      <c r="L10" s="9"/>
      <c r="M10" s="23"/>
      <c r="N10" s="24"/>
      <c r="O10" s="24"/>
      <c r="P10" s="24"/>
      <c r="Q10" s="24"/>
    </row>
    <row r="11" spans="1:17" ht="15" customHeight="1" x14ac:dyDescent="0.35">
      <c r="A11" s="11"/>
      <c r="B11" s="26"/>
      <c r="C11" s="21"/>
      <c r="D11" s="33"/>
      <c r="E11" s="33"/>
      <c r="F11" s="33"/>
      <c r="G11" s="33"/>
      <c r="H11" s="16"/>
      <c r="I11" s="9"/>
      <c r="J11" s="9"/>
      <c r="K11" s="9"/>
      <c r="L11" s="9"/>
      <c r="M11" s="23"/>
      <c r="N11" s="24"/>
      <c r="O11" s="24"/>
      <c r="P11" s="24"/>
      <c r="Q11" s="24"/>
    </row>
    <row r="12" spans="1:17" ht="15" customHeight="1" x14ac:dyDescent="0.35">
      <c r="A12" s="11"/>
      <c r="B12" s="26"/>
      <c r="C12" s="21"/>
      <c r="D12" s="33"/>
      <c r="E12" s="33"/>
      <c r="F12" s="33"/>
      <c r="G12" s="33"/>
      <c r="H12" s="16"/>
      <c r="I12" s="9"/>
      <c r="J12" s="9"/>
      <c r="K12" s="9"/>
      <c r="L12" s="9"/>
      <c r="M12" s="24"/>
      <c r="N12" s="24"/>
      <c r="O12" s="24"/>
      <c r="P12" s="24"/>
      <c r="Q12" s="24"/>
    </row>
    <row r="13" spans="1:17" ht="15" customHeight="1" x14ac:dyDescent="0.35">
      <c r="A13" s="11"/>
      <c r="B13" s="23"/>
      <c r="C13" s="21"/>
      <c r="D13" s="8"/>
      <c r="E13" s="33"/>
      <c r="F13" s="33"/>
      <c r="G13" s="33"/>
      <c r="H13" s="16"/>
      <c r="I13" s="9"/>
      <c r="J13" s="9"/>
      <c r="K13" s="9"/>
      <c r="L13" s="9"/>
      <c r="M13" s="24"/>
      <c r="N13" s="24"/>
      <c r="O13" s="24"/>
      <c r="P13" s="24"/>
      <c r="Q13" s="24"/>
    </row>
    <row r="14" spans="1:17" ht="15" customHeight="1" x14ac:dyDescent="0.35">
      <c r="A14" s="11"/>
      <c r="B14" s="23"/>
      <c r="C14" s="21"/>
      <c r="D14" s="8"/>
      <c r="E14" s="33"/>
      <c r="F14" s="33"/>
      <c r="G14" s="16"/>
      <c r="H14" s="16"/>
      <c r="I14" s="9"/>
      <c r="J14" s="9"/>
      <c r="K14" s="9"/>
      <c r="L14" s="9"/>
      <c r="M14" s="24"/>
      <c r="N14" s="24"/>
      <c r="O14" s="24"/>
      <c r="P14" s="24"/>
      <c r="Q14" s="24"/>
    </row>
    <row r="15" spans="1:17" ht="15" customHeight="1" thickBot="1" x14ac:dyDescent="0.4">
      <c r="B15" s="19" t="s">
        <v>12</v>
      </c>
      <c r="C15" s="18"/>
      <c r="D15" s="22">
        <f>SUM(D5:D12)</f>
        <v>12505</v>
      </c>
      <c r="E15" s="22">
        <f t="shared" ref="E15:L15" si="0">SUM(E5:E14)</f>
        <v>0</v>
      </c>
      <c r="F15" s="22">
        <f t="shared" si="0"/>
        <v>0</v>
      </c>
      <c r="G15" s="22">
        <f t="shared" si="0"/>
        <v>0</v>
      </c>
      <c r="H15" s="22">
        <f t="shared" si="0"/>
        <v>0</v>
      </c>
      <c r="I15" s="22">
        <f t="shared" si="0"/>
        <v>0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4"/>
      <c r="N15" s="24"/>
      <c r="O15" s="24"/>
      <c r="P15" s="24"/>
      <c r="Q15" s="24"/>
    </row>
    <row r="16" spans="1:17" ht="15" customHeight="1" thickTop="1" x14ac:dyDescent="0.35">
      <c r="M16" s="20"/>
      <c r="N16" s="20"/>
      <c r="O16" s="20"/>
      <c r="P16" s="20"/>
      <c r="Q16" s="20"/>
    </row>
    <row r="17" spans="1:11" ht="15" customHeight="1" x14ac:dyDescent="0.35"/>
    <row r="18" spans="1:11" ht="15" customHeight="1" x14ac:dyDescent="0.35"/>
    <row r="19" spans="1:11" ht="15" customHeight="1" x14ac:dyDescent="0.35"/>
    <row r="20" spans="1:11" ht="15" customHeight="1" x14ac:dyDescent="0.35">
      <c r="B20" s="12"/>
      <c r="C20"/>
      <c r="D20" s="6"/>
      <c r="E20" s="6"/>
      <c r="F20" s="6"/>
      <c r="G20" s="1"/>
      <c r="H20" s="1"/>
      <c r="I20" s="1"/>
      <c r="J20" s="1"/>
    </row>
    <row r="21" spans="1:11" ht="15" customHeight="1" x14ac:dyDescent="0.35">
      <c r="B21" s="5"/>
      <c r="C21"/>
      <c r="D21" s="6"/>
      <c r="E21" s="6"/>
      <c r="F21" s="6"/>
      <c r="G21" s="1"/>
      <c r="H21" s="1"/>
      <c r="I21" s="1"/>
      <c r="J21" s="1"/>
    </row>
    <row r="22" spans="1:11" ht="15" customHeight="1" x14ac:dyDescent="0.35">
      <c r="B22" s="5"/>
      <c r="C22"/>
      <c r="D22" s="6"/>
      <c r="E22" s="6"/>
      <c r="F22" s="6"/>
      <c r="G22" s="1"/>
      <c r="H22" s="1"/>
      <c r="I22" s="1"/>
      <c r="J22" s="1"/>
    </row>
    <row r="23" spans="1:11" ht="15" customHeight="1" x14ac:dyDescent="0.35">
      <c r="B23" s="5"/>
      <c r="C23"/>
      <c r="D23" s="10"/>
      <c r="E23" s="10"/>
      <c r="F23" s="10"/>
      <c r="G23" s="1"/>
      <c r="H23" s="1"/>
      <c r="I23" s="1"/>
      <c r="J23" s="1"/>
    </row>
    <row r="24" spans="1:11" ht="15" customHeight="1" x14ac:dyDescent="0.35">
      <c r="A24" s="20"/>
      <c r="B24" s="5"/>
      <c r="C24"/>
      <c r="D24" s="10"/>
      <c r="E24" s="10"/>
      <c r="F24" s="10"/>
      <c r="G24" s="1"/>
      <c r="H24" s="1"/>
      <c r="I24" s="1"/>
      <c r="J24" s="1"/>
      <c r="K24" s="20"/>
    </row>
    <row r="25" spans="1:11" ht="15" customHeight="1" x14ac:dyDescent="0.35">
      <c r="A25" s="20"/>
      <c r="B25" s="5"/>
      <c r="K25" s="20"/>
    </row>
    <row r="26" spans="1:11" ht="15" customHeight="1" x14ac:dyDescent="0.35">
      <c r="K26" s="1"/>
    </row>
    <row r="27" spans="1:11" ht="15" customHeight="1" x14ac:dyDescent="0.35">
      <c r="K27" s="1"/>
    </row>
    <row r="30" spans="1:11" ht="15" customHeight="1" x14ac:dyDescent="0.35"/>
    <row r="31" spans="1:11" ht="15" customHeight="1" x14ac:dyDescent="0.35"/>
    <row r="32" spans="1:11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</sheetData>
  <autoFilter ref="A4:Q15" xr:uid="{00000000-0009-0000-0000-000000000000}">
    <sortState xmlns:xlrd2="http://schemas.microsoft.com/office/spreadsheetml/2017/richdata2" ref="A5:Q9">
      <sortCondition ref="C4:C9"/>
    </sortState>
  </autoFilter>
  <pageMargins left="0.70866141732283472" right="0.70866141732283472" top="0.74803149606299213" bottom="0.74803149606299213" header="0.31496062992125984" footer="0.31496062992125984"/>
  <pageSetup scale="4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c93d60-f292-4ca8-a3ad-e810de3a74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331FB69F973048B156A89836F487F1" ma:contentTypeVersion="14" ma:contentTypeDescription="Crear nuevo documento." ma:contentTypeScope="" ma:versionID="c78900372aac371712e8b5c42d83d21f">
  <xsd:schema xmlns:xsd="http://www.w3.org/2001/XMLSchema" xmlns:xs="http://www.w3.org/2001/XMLSchema" xmlns:p="http://schemas.microsoft.com/office/2006/metadata/properties" xmlns:ns3="19c93d60-f292-4ca8-a3ad-e810de3a7452" xmlns:ns4="96851ae8-1252-47f5-9e17-de6e7d218995" targetNamespace="http://schemas.microsoft.com/office/2006/metadata/properties" ma:root="true" ma:fieldsID="e1a5270c0767937ebfeacc92ced874c4" ns3:_="" ns4:_="">
    <xsd:import namespace="19c93d60-f292-4ca8-a3ad-e810de3a7452"/>
    <xsd:import namespace="96851ae8-1252-47f5-9e17-de6e7d21899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c93d60-f292-4ca8-a3ad-e810de3a74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1ae8-1252-47f5-9e17-de6e7d2189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ADF37C-5BEF-4CD0-AFC5-9BDC28E8759A}">
  <ds:schemaRefs>
    <ds:schemaRef ds:uri="96851ae8-1252-47f5-9e17-de6e7d218995"/>
    <ds:schemaRef ds:uri="http://schemas.microsoft.com/office/infopath/2007/PartnerControls"/>
    <ds:schemaRef ds:uri="http://purl.org/dc/terms/"/>
    <ds:schemaRef ds:uri="19c93d60-f292-4ca8-a3ad-e810de3a7452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1DB0D20-E0AB-4B2B-90BD-8B2B463A13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75A355-DA0E-4C8D-BEBD-A0D46350B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c93d60-f292-4ca8-a3ad-e810de3a7452"/>
    <ds:schemaRef ds:uri="96851ae8-1252-47f5-9e17-de6e7d2189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Summary Revision</vt:lpstr>
      <vt:lpstr>January 2026</vt:lpstr>
      <vt:lpstr>February 2026</vt:lpstr>
      <vt:lpstr>March 2026</vt:lpstr>
      <vt:lpstr>April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Moreira, Raul (BUE)</dc:creator>
  <cp:keywords/>
  <dc:description/>
  <cp:lastModifiedBy>Arturo Carpani Costa</cp:lastModifiedBy>
  <cp:revision/>
  <cp:lastPrinted>2025-10-09T17:29:41Z</cp:lastPrinted>
  <dcterms:created xsi:type="dcterms:W3CDTF">2020-07-02T13:17:01Z</dcterms:created>
  <dcterms:modified xsi:type="dcterms:W3CDTF">2026-04-08T16:19:01Z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0x010100A9331FB69F973048B156A89836F487F1</vt:lpwstr>
  </property>
  <property fmtid="{D5CDD505-2E9C-101B-9397-08002B2CF9AE}" pid="3" name="MSIP_Label_26293abe-9cdf-4eda-bafa-ea0855bbbb38_Enabled">
    <vt:lpwstr>true</vt:lpwstr>
  </property>
  <property fmtid="{D5CDD505-2E9C-101B-9397-08002B2CF9AE}" pid="4" name="MSIP_Label_26293abe-9cdf-4eda-bafa-ea0855bbbb38_SetDate">
    <vt:lpwstr>2025-06-03T17:55:29Z</vt:lpwstr>
  </property>
  <property fmtid="{D5CDD505-2E9C-101B-9397-08002B2CF9AE}" pid="5" name="MSIP_Label_26293abe-9cdf-4eda-bafa-ea0855bbbb38_Method">
    <vt:lpwstr>Privileged</vt:lpwstr>
  </property>
  <property fmtid="{D5CDD505-2E9C-101B-9397-08002B2CF9AE}" pid="6" name="MSIP_Label_26293abe-9cdf-4eda-bafa-ea0855bbbb38_Name">
    <vt:lpwstr>Classification Public</vt:lpwstr>
  </property>
  <property fmtid="{D5CDD505-2E9C-101B-9397-08002B2CF9AE}" pid="7" name="MSIP_Label_26293abe-9cdf-4eda-bafa-ea0855bbbb38_SiteId">
    <vt:lpwstr>2f55bf32-42d4-44b3-a8c2-930ac8b182b2</vt:lpwstr>
  </property>
  <property fmtid="{D5CDD505-2E9C-101B-9397-08002B2CF9AE}" pid="8" name="MSIP_Label_26293abe-9cdf-4eda-bafa-ea0855bbbb38_ActionId">
    <vt:lpwstr>648e5874-8560-4246-b202-641715512adc</vt:lpwstr>
  </property>
  <property fmtid="{D5CDD505-2E9C-101B-9397-08002B2CF9AE}" pid="9" name="MSIP_Label_26293abe-9cdf-4eda-bafa-ea0855bbbb38_ContentBits">
    <vt:lpwstr>0</vt:lpwstr>
  </property>
</Properties>
</file>