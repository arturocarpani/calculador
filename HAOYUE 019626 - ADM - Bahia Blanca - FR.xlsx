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robledo\Desktop\AJUSTADAS\"/>
    </mc:Choice>
  </mc:AlternateContent>
  <xr:revisionPtr revIDLastSave="0" documentId="13_ncr:1_{07F252C4-30F5-4222-B78B-5F673103D7B4}" xr6:coauthVersionLast="47" xr6:coauthVersionMax="47" xr10:uidLastSave="{00000000-0000-0000-0000-000000000000}"/>
  <bookViews>
    <workbookView xWindow="-110" yWindow="-110" windowWidth="19420" windowHeight="10300" activeTab="1" xr2:uid="{4A3156B7-6301-40D9-B89E-0BDA4A95730D}"/>
  </bookViews>
  <sheets>
    <sheet name="Bahia Blanca" sheetId="1" r:id="rId1"/>
    <sheet name="Ajustada" sheetId="3" r:id="rId2"/>
    <sheet name="Breakdown" sheetId="4" r:id="rId3"/>
    <sheet name="Calculos" sheetId="2" r:id="rId4"/>
  </sheets>
  <definedNames>
    <definedName name="_xlnm.Print_Area" localSheetId="1">Ajustada!$A$5:$D$48</definedName>
    <definedName name="_xlnm.Print_Area" localSheetId="2">Breakdown!$A$1:$O$70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3" l="1"/>
  <c r="C25" i="3"/>
  <c r="C18" i="3"/>
  <c r="C10" i="3"/>
  <c r="A28" i="1"/>
  <c r="A19" i="1"/>
  <c r="B30" i="3" l="1"/>
  <c r="D42" i="1" l="1"/>
  <c r="I23" i="1"/>
  <c r="H24" i="1" s="1"/>
  <c r="C37" i="1"/>
  <c r="C36" i="1"/>
  <c r="G55" i="4" l="1" a="1"/>
  <c r="G55" i="4" s="1"/>
  <c r="D55" i="4"/>
  <c r="F55" i="4" s="1"/>
  <c r="F26" i="4" l="1" a="1"/>
  <c r="F26" i="4" s="1"/>
  <c r="I26" i="4" s="1"/>
  <c r="C13" i="4"/>
  <c r="E13" i="4"/>
  <c r="C12" i="4"/>
  <c r="E4" i="4"/>
  <c r="C46" i="1" l="1"/>
  <c r="D46" i="1"/>
  <c r="E46" i="1"/>
  <c r="F46" i="1"/>
  <c r="G46" i="1"/>
  <c r="B46" i="1"/>
  <c r="F42" i="1" l="1"/>
  <c r="A20" i="1"/>
  <c r="G42" i="1"/>
  <c r="G44" i="1" s="1"/>
  <c r="F44" i="1" l="1"/>
  <c r="F45" i="1" s="1"/>
  <c r="K55" i="4"/>
  <c r="J26" i="4"/>
  <c r="D26" i="4"/>
  <c r="G26" i="4" s="1"/>
  <c r="E42" i="1"/>
  <c r="E44" i="1" s="1"/>
  <c r="C42" i="1"/>
  <c r="C44" i="1" s="1"/>
  <c r="B42" i="1"/>
  <c r="B44" i="1" s="1"/>
  <c r="D44" i="1"/>
  <c r="C16" i="3" l="1"/>
  <c r="G13" i="4"/>
  <c r="C17" i="3"/>
  <c r="B45" i="1"/>
  <c r="D45" i="1"/>
  <c r="G16" i="4" l="1"/>
  <c r="C30"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<sst xmlns="http://schemas.openxmlformats.org/spreadsheetml/2006/main" count="187" uniqueCount="166">
  <si>
    <t>CLIENTE :</t>
  </si>
  <si>
    <t>XX</t>
  </si>
  <si>
    <t>BUQUE :</t>
  </si>
  <si>
    <t>PUERTO</t>
  </si>
  <si>
    <t>TERMINAL</t>
  </si>
  <si>
    <t>CF</t>
  </si>
  <si>
    <t>TRN</t>
  </si>
  <si>
    <t>CARGA</t>
  </si>
  <si>
    <t>DIAS</t>
  </si>
  <si>
    <t>ENTRADA</t>
  </si>
  <si>
    <t>SALIDA</t>
  </si>
  <si>
    <t>PORT PILOTS</t>
  </si>
  <si>
    <t>CONEXO</t>
  </si>
  <si>
    <t>TOTAL</t>
  </si>
  <si>
    <t>VESSEL</t>
  </si>
  <si>
    <t>PORT</t>
  </si>
  <si>
    <t>BERTH</t>
  </si>
  <si>
    <t>PERMANENCY</t>
  </si>
  <si>
    <t>CURRENCY</t>
  </si>
  <si>
    <t>USD</t>
  </si>
  <si>
    <t xml:space="preserve">ITEM </t>
  </si>
  <si>
    <t>AMOUNT</t>
  </si>
  <si>
    <t>Port dues</t>
  </si>
  <si>
    <t>Toll dues</t>
  </si>
  <si>
    <t>Port pilotage</t>
  </si>
  <si>
    <t>Mooring &amp; unmooring services</t>
  </si>
  <si>
    <t>Custom house expenses</t>
  </si>
  <si>
    <t>Migration expenses - outward</t>
  </si>
  <si>
    <t>Garbage compulsory inspection</t>
  </si>
  <si>
    <t>Watchmen compulsory services</t>
  </si>
  <si>
    <t>Headclerk compulsory services</t>
  </si>
  <si>
    <t>Agency fee</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</si>
  <si>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</si>
  <si>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</si>
  <si>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</si>
  <si>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</si>
  <si>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</si>
  <si>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</si>
  <si>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TOTAL USD</t>
  </si>
  <si>
    <t>BAHIA BLANCA</t>
  </si>
  <si>
    <t>SLORA</t>
  </si>
  <si>
    <t>PORT DUES BB</t>
  </si>
  <si>
    <t>HORA</t>
  </si>
  <si>
    <t>00:00 a 08:00</t>
  </si>
  <si>
    <t>08:00 a 16:00</t>
  </si>
  <si>
    <t>16:00 a 24:00</t>
  </si>
  <si>
    <t>TOLL DUES BB</t>
  </si>
  <si>
    <t>CANT CARGADA</t>
  </si>
  <si>
    <t>PIES</t>
  </si>
  <si>
    <t>MTS</t>
  </si>
  <si>
    <t>PRACTICOS PUERTO BB</t>
  </si>
  <si>
    <t>GALVAN</t>
  </si>
  <si>
    <t>SERVICIO</t>
  </si>
  <si>
    <t>Cofco 10% sobre el serv + 15% sobre conex</t>
  </si>
  <si>
    <t>DISTANCIAS</t>
  </si>
  <si>
    <t>ROSALES</t>
  </si>
  <si>
    <t>NC</t>
  </si>
  <si>
    <t>BUNKER (Fondadero)</t>
  </si>
  <si>
    <t>Towage services</t>
  </si>
  <si>
    <t>Includes retribution for the maintenance of external and internal navigation channel depth used for the navigation of the vessel.</t>
  </si>
  <si>
    <t>TONS=Gross tons loading or discharge of the vessel</t>
  </si>
  <si>
    <t>Coefficient for vessel capacity (Ft):</t>
  </si>
  <si>
    <t>Ft</t>
  </si>
  <si>
    <t>0.6</t>
  </si>
  <si>
    <t>0.85</t>
  </si>
  <si>
    <t>1.15</t>
  </si>
  <si>
    <t xml:space="preserve">Less than 5.000 </t>
  </si>
  <si>
    <t>More than 5.000 to 10.000 inclusive</t>
  </si>
  <si>
    <t xml:space="preserve">More than 10.000 to 17.000 inclusive </t>
  </si>
  <si>
    <t xml:space="preserve">More than 17.000 to 24.000 inclusive </t>
  </si>
  <si>
    <t xml:space="preserve">More than 24.000 </t>
  </si>
  <si>
    <t>Bunker operation:</t>
  </si>
  <si>
    <t>Ft = Vessel capacity Coefficient ( see chart below)</t>
  </si>
  <si>
    <t>TRN 20% * 1.35 *USD 0.90 * 1.15</t>
  </si>
  <si>
    <t>Base: Per gross ton or fraction loaded or discharged by the ship, with consideration of the draft and the capacity of the ship.</t>
  </si>
  <si>
    <t>* 0,4 *</t>
  </si>
  <si>
    <t>Tariffs for entrance or sailing:</t>
  </si>
  <si>
    <t>( 8 *</t>
  </si>
  <si>
    <t>( 14 *</t>
  </si>
  <si>
    <t>BOYA 11 - GALVAN</t>
  </si>
  <si>
    <t>BOYA 11 - WHITE</t>
  </si>
  <si>
    <t>BOYA 11 - ROSALES</t>
  </si>
  <si>
    <t>BOYA 11</t>
  </si>
  <si>
    <t>* 1,15</t>
  </si>
  <si>
    <t>Vessel’s Fiscal Coefficient: (Length Overall * Extreme Breadth * Depth Overall)/800</t>
  </si>
  <si>
    <t>Destination</t>
  </si>
  <si>
    <t>Km</t>
  </si>
  <si>
    <t>Buoy 11 - Pto Rosales</t>
  </si>
  <si>
    <t>Buoy 11 - Ing White</t>
  </si>
  <si>
    <t>Buoy 11 - Pto Galvan</t>
  </si>
  <si>
    <r>
      <rPr>
        <b/>
        <sz val="12"/>
        <color theme="1"/>
        <rFont val="Aptos Narrow"/>
        <family val="2"/>
        <scheme val="minor"/>
      </rPr>
      <t xml:space="preserve">B.T. (basic tariff) </t>
    </r>
    <r>
      <rPr>
        <sz val="12"/>
        <color theme="1"/>
        <rFont val="Aptos Narrow"/>
        <family val="2"/>
        <scheme val="minor"/>
      </rPr>
      <t xml:space="preserve">=( (Fiscal unit tariff 14 * Vessel's Fiscal Coefficient) + (Fiscal unit tariff 8 * Vessel's Fiscal Coefficient) (Fiscal unit tariff 12 * N km travelled )) + % Exceeding draft if more than 28 feets </t>
    </r>
  </si>
  <si>
    <t>ADM</t>
  </si>
  <si>
    <t>AMAGGI</t>
  </si>
  <si>
    <t>ARASCO</t>
  </si>
  <si>
    <t>AXLE MARINE SINGAPURE</t>
  </si>
  <si>
    <t>BALKAN AND BLACK SEA</t>
  </si>
  <si>
    <t>BALTNAV</t>
  </si>
  <si>
    <t>BERGE</t>
  </si>
  <si>
    <t>BOLTEN</t>
  </si>
  <si>
    <t>CANAL ROJO</t>
  </si>
  <si>
    <t>CARGILL</t>
  </si>
  <si>
    <t>CEFETRA SPA</t>
  </si>
  <si>
    <t>CJ ASIA</t>
  </si>
  <si>
    <t>CJ ITALY</t>
  </si>
  <si>
    <t>CLEARLAKE - GUNVOR</t>
  </si>
  <si>
    <t>CLIPPER</t>
  </si>
  <si>
    <t>COFCO ARGENTINA</t>
  </si>
  <si>
    <t>CORNHILL - PAN OCEAN</t>
  </si>
  <si>
    <t>COSCO ARGENTINA</t>
  </si>
  <si>
    <t>D AMICO</t>
  </si>
  <si>
    <t>FAIRFIELD</t>
  </si>
  <si>
    <t>FEDNAV</t>
  </si>
  <si>
    <t>GENCO SHIPPING</t>
  </si>
  <si>
    <t>HAFNIA</t>
  </si>
  <si>
    <t>HAKAN</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</si>
  <si>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</si>
  <si>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</si>
  <si>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</si>
  <si>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</si>
  <si>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</si>
  <si>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</si>
  <si>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</si>
  <si>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</si>
  <si>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</si>
  <si>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</si>
  <si>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</si>
  <si>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</si>
  <si>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</si>
  <si>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</si>
  <si>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</si>
  <si>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</si>
  <si>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</si>
  <si>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</si>
  <si>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</si>
  <si>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</si>
  <si>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</si>
  <si>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</si>
  <si>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</si>
  <si>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</si>
  <si>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</si>
  <si>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</si>
  <si>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</si>
  <si>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</si>
  <si>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</si>
  <si>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</si>
  <si>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</si>
  <si>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</si>
  <si>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</si>
  <si>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t>
  </si>
  <si>
    <t>Connected services ( Transportation + Pilots boats )</t>
  </si>
  <si>
    <t>USD 6064</t>
  </si>
  <si>
    <t>GOLDEN OCEAN GROUP</t>
  </si>
  <si>
    <t>Initial</t>
  </si>
  <si>
    <t>Close to Real</t>
  </si>
  <si>
    <t xml:space="preserve"> TRN*0,46* </t>
  </si>
  <si>
    <t>TONS X 1,55 X Ft + TONS X 0.40 X Ft</t>
  </si>
  <si>
    <t>* 1,55 *</t>
  </si>
  <si>
    <t>HAOYUE</t>
  </si>
  <si>
    <t>2 days</t>
  </si>
  <si>
    <t>OSRO Coverage for bunkers</t>
  </si>
  <si>
    <t>From 18-03-26 to 20-03-26</t>
  </si>
  <si>
    <t>Proviene de San Lorenzo</t>
  </si>
  <si>
    <t>Custom house bunkering</t>
  </si>
  <si>
    <t>Remolcadores Pto Mariel</t>
  </si>
  <si>
    <t>2 de Entrada / 2 de Salida</t>
  </si>
  <si>
    <t>Diferencia con Advance usd 37.000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</si>
</sst>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0000"/>
  </numFmts>
  <fonts count="21"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name val="Aptos Narrow"/>
      <family val="2"/>
      <scheme val="minor"/>
    </font>
    <font>
      <u/>
      <sz val="14"/>
      <color theme="1"/>
      <name val="Aptos Narrow"/>
      <family val="2"/>
      <scheme val="minor"/>
    </font>
    <font>
      <i/>
      <u/>
      <sz val="11"/>
      <color theme="1"/>
      <name val="Aptos Narrow"/>
      <family val="2"/>
      <scheme val="minor"/>
    </font>
    <font>
      <b/>
      <sz val="12"/>
      <color theme="1"/>
      <name val="Aptos Narrow"/>
      <family val="2"/>
      <scheme val="minor"/>
    </font>
    <font>
      <i/>
      <sz val="11"/>
      <color theme="1"/>
      <name val="Aptos Narrow"/>
      <family val="2"/>
      <scheme val="minor"/>
    </font>
    <font>
      <b/>
      <sz val="6"/>
      <color rgb="FF000000"/>
      <name val="Verdana"/>
      <family val="2"/>
    </font>
  </fonts>
  <fills count="15">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
      <patternFill patternType="solid">
        <fgColor theme="9" tint="0.59999389629810485"/>
        <bgColor indexed="64"/>
      </patternFill>
    </fill>
  </fills>
  <borders count="14">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thin">
        <color indexed="64"/>
      </left>
      <right/>
      <top style="thin">
        <color indexed="64"/>
      </top>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2" fillId="0" borderId="0"/>
  </cellStyleXfs>
  <cellXfs count="88">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4" fillId="0" borderId="0" xfId="1" applyFont="1"/>
    <xf numFmtId="0" fontId="2" fillId="0" borderId="0" xfId="1" applyAlignment="1">
      <alignment horizontal="center"/>
    </xf>
    <xf numFmtId="0" fontId="2" fillId="0" borderId="4" xfId="1" applyBorder="1"/>
    <xf numFmtId="2" fontId="2" fillId="0" borderId="4" xfId="1" applyNumberFormat="1" applyBorder="1"/>
    <xf numFmtId="0" fontId="1" fillId="0" borderId="0" xfId="0" applyFont="1"/>
    <xf numFmtId="2" fontId="0" fillId="0" borderId="0" xfId="0" applyNumberFormat="1"/>
    <xf numFmtId="2" fontId="2" fillId="0" borderId="0" xfId="1" applyNumberFormat="1"/>
    <xf numFmtId="0" fontId="0" fillId="4" borderId="0" xfId="0" applyFill="1"/>
    <xf numFmtId="0" fontId="6" fillId="0" borderId="0" xfId="0" applyFont="1" applyAlignment="1">
      <alignment horizontal="center"/>
    </xf>
    <xf numFmtId="0" fontId="7" fillId="5" borderId="9" xfId="0" applyFont="1" applyFill="1" applyBorder="1" applyAlignment="1">
      <alignment horizontal="center"/>
    </xf>
    <xf numFmtId="0" fontId="8" fillId="6" borderId="10" xfId="0" applyFont="1" applyFill="1" applyBorder="1" applyAlignment="1">
      <alignment horizontal="center"/>
    </xf>
    <xf numFmtId="0" fontId="8" fillId="0" borderId="10" xfId="0" applyFont="1" applyBorder="1" applyAlignment="1">
      <alignment horizontal="left"/>
    </xf>
    <xf numFmtId="3" fontId="9" fillId="0" borderId="10" xfId="0" applyNumberFormat="1" applyFont="1" applyBorder="1" applyAlignment="1">
      <alignment horizontal="center"/>
    </xf>
    <xf numFmtId="0" fontId="7" fillId="7" borderId="9" xfId="0" applyFont="1" applyFill="1" applyBorder="1" applyAlignment="1">
      <alignment horizontal="right"/>
    </xf>
    <xf numFmtId="3" fontId="8" fillId="0" borderId="10" xfId="0" applyNumberFormat="1" applyFont="1" applyBorder="1" applyAlignment="1">
      <alignment horizontal="center"/>
    </xf>
    <xf numFmtId="0" fontId="12" fillId="0" borderId="0" xfId="0" applyFont="1" applyAlignment="1">
      <alignment vertical="center"/>
    </xf>
    <xf numFmtId="164" fontId="0" fillId="0" borderId="0" xfId="0" applyNumberFormat="1"/>
    <xf numFmtId="0" fontId="13" fillId="0" borderId="0" xfId="0" applyFont="1"/>
    <xf numFmtId="1" fontId="0" fillId="0" borderId="0" xfId="0" applyNumberFormat="1"/>
    <xf numFmtId="164" fontId="1" fillId="0" borderId="0" xfId="0" applyNumberFormat="1" applyFont="1"/>
    <xf numFmtId="164" fontId="13" fillId="0" borderId="0" xfId="0" applyNumberFormat="1" applyFont="1"/>
    <xf numFmtId="0" fontId="0" fillId="0" borderId="11" xfId="0" applyBorder="1"/>
    <xf numFmtId="0" fontId="1" fillId="0" borderId="0" xfId="0" applyFont="1" applyAlignment="1">
      <alignment vertical="center"/>
    </xf>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2" fontId="15" fillId="0" borderId="0" xfId="0" applyNumberFormat="1" applyFont="1" applyAlignment="1">
      <alignment horizontal="left"/>
    </xf>
    <xf numFmtId="2" fontId="13" fillId="0" borderId="0" xfId="0" applyNumberFormat="1" applyFont="1"/>
    <xf numFmtId="0" fontId="12" fillId="0" borderId="11" xfId="0" applyFont="1" applyBorder="1" applyAlignment="1">
      <alignment vertical="center"/>
    </xf>
    <xf numFmtId="0" fontId="14" fillId="0" borderId="0" xfId="0" applyFont="1" applyAlignment="1">
      <alignment vertical="center"/>
    </xf>
    <xf numFmtId="0" fontId="2" fillId="3" borderId="0" xfId="1" applyFill="1"/>
    <xf numFmtId="0" fontId="4" fillId="0" borderId="4" xfId="1" applyFont="1" applyBorder="1" applyAlignment="1">
      <alignment horizontal="center"/>
    </xf>
    <xf numFmtId="0" fontId="2" fillId="0" borderId="4" xfId="1" applyBorder="1" applyAlignment="1">
      <alignment horizontal="center"/>
    </xf>
    <xf numFmtId="2" fontId="2" fillId="3" borderId="0" xfId="1" applyNumberFormat="1" applyFill="1"/>
    <xf numFmtId="0" fontId="2" fillId="0" borderId="4" xfId="1" applyBorder="1" applyAlignment="1">
      <alignment horizontal="left"/>
    </xf>
    <xf numFmtId="0" fontId="4" fillId="2" borderId="8" xfId="1" applyFont="1" applyFill="1" applyBorder="1" applyAlignment="1">
      <alignment horizontal="center"/>
    </xf>
    <xf numFmtId="0" fontId="4" fillId="2" borderId="13" xfId="1" applyFont="1" applyFill="1" applyBorder="1" applyAlignment="1">
      <alignment horizontal="center"/>
    </xf>
    <xf numFmtId="2" fontId="2" fillId="0" borderId="4" xfId="1" applyNumberFormat="1" applyBorder="1" applyAlignment="1">
      <alignment horizontal="center"/>
    </xf>
    <xf numFmtId="0" fontId="2" fillId="3" borderId="0" xfId="1" applyFill="1" applyAlignment="1">
      <alignment horizontal="center"/>
    </xf>
    <xf numFmtId="0" fontId="0" fillId="0" borderId="0" xfId="0" applyAlignment="1">
      <alignment horizontal="center"/>
    </xf>
    <xf numFmtId="0" fontId="16" fillId="0" borderId="0" xfId="0" applyFont="1"/>
    <xf numFmtId="0" fontId="1" fillId="0" borderId="1" xfId="0" applyFont="1" applyBorder="1" applyAlignment="1">
      <alignment horizontal="center"/>
    </xf>
    <xf numFmtId="0" fontId="17" fillId="0" borderId="0" xfId="0" applyFont="1" applyAlignment="1">
      <alignment vertical="center"/>
    </xf>
    <xf numFmtId="0" fontId="13" fillId="0" borderId="0" xfId="0" applyFont="1" applyAlignment="1">
      <alignment horizontal="right"/>
    </xf>
    <xf numFmtId="0" fontId="14" fillId="0" borderId="0" xfId="0" applyFont="1" applyAlignment="1">
      <alignment vertical="top" wrapText="1"/>
    </xf>
    <xf numFmtId="0" fontId="14" fillId="0" borderId="0" xfId="0" applyFont="1" applyAlignment="1">
      <alignment horizontal="center" vertical="top" wrapText="1"/>
    </xf>
    <xf numFmtId="49" fontId="14" fillId="0" borderId="0" xfId="0" applyNumberFormat="1" applyFont="1" applyAlignment="1">
      <alignment vertical="top" wrapText="1"/>
    </xf>
    <xf numFmtId="0" fontId="14" fillId="0" borderId="0" xfId="0" applyFont="1" applyAlignment="1">
      <alignment horizontal="right" vertical="top" wrapText="1"/>
    </xf>
    <xf numFmtId="0" fontId="19" fillId="0" borderId="0" xfId="0" applyFont="1" applyAlignment="1">
      <alignment vertical="center"/>
    </xf>
    <xf numFmtId="0" fontId="18" fillId="0" borderId="0" xfId="0" applyFont="1" applyAlignment="1">
      <alignment horizontal="left" vertical="top" wrapText="1"/>
    </xf>
    <xf numFmtId="0" fontId="18" fillId="0" borderId="0" xfId="0" applyFont="1" applyAlignment="1">
      <alignment vertical="top" wrapText="1"/>
    </xf>
    <xf numFmtId="0" fontId="18" fillId="0" borderId="0" xfId="0" applyFont="1"/>
    <xf numFmtId="0" fontId="0" fillId="13" borderId="0" xfId="0" applyFill="1" applyAlignment="1">
      <alignment horizontal="center"/>
    </xf>
    <xf numFmtId="4" fontId="0" fillId="0" borderId="0" xfId="0" applyNumberFormat="1"/>
    <xf numFmtId="3" fontId="20" fillId="0" borderId="0" xfId="0" applyNumberFormat="1" applyFont="1"/>
    <xf numFmtId="0" fontId="0" fillId="14" borderId="0" xfId="0" applyFill="1"/>
    <xf numFmtId="0" fontId="7" fillId="8" borderId="9" xfId="0" applyFont="1" applyFill="1" applyBorder="1" applyAlignment="1">
      <alignment horizontal="left" vertical="top" wrapText="1"/>
    </xf>
    <xf numFmtId="0" fontId="10" fillId="0" borderId="0" xfId="0" applyFont="1" applyAlignment="1">
      <alignment horizontal="justify" wrapText="1"/>
    </xf>
    <xf numFmtId="2" fontId="5" fillId="9" borderId="4" xfId="1" applyNumberFormat="1" applyFont="1" applyFill="1" applyBorder="1" applyAlignment="1">
      <alignment horizontal="center"/>
    </xf>
    <xf numFmtId="0" fontId="4" fillId="2" borderId="7" xfId="1" applyFont="1" applyFill="1" applyBorder="1" applyAlignment="1">
      <alignment horizontal="center"/>
    </xf>
    <xf numFmtId="0" fontId="4" fillId="2" borderId="1" xfId="1" applyFont="1" applyFill="1" applyBorder="1" applyAlignment="1">
      <alignment horizontal="center"/>
    </xf>
    <xf numFmtId="0" fontId="4" fillId="2" borderId="4" xfId="1" applyFont="1" applyFill="1" applyBorder="1" applyAlignment="1">
      <alignment horizontal="left"/>
    </xf>
    <xf numFmtId="2" fontId="5" fillId="9" borderId="0" xfId="1" applyNumberFormat="1" applyFont="1" applyFill="1" applyAlignment="1">
      <alignment horizontal="center"/>
    </xf>
    <xf numFmtId="0" fontId="4" fillId="2" borderId="2" xfId="1" applyFont="1" applyFill="1" applyBorder="1" applyAlignment="1">
      <alignment horizontal="center"/>
    </xf>
    <xf numFmtId="0" fontId="4" fillId="2" borderId="6" xfId="1" applyFont="1" applyFill="1" applyBorder="1" applyAlignment="1">
      <alignment horizontal="center"/>
    </xf>
    <xf numFmtId="0" fontId="4" fillId="2" borderId="3" xfId="1" applyFont="1" applyFill="1" applyBorder="1" applyAlignment="1">
      <alignment horizontal="center"/>
    </xf>
    <xf numFmtId="2" fontId="5" fillId="12" borderId="0" xfId="1" applyNumberFormat="1" applyFont="1" applyFill="1" applyAlignment="1">
      <alignment horizontal="center"/>
    </xf>
    <xf numFmtId="0" fontId="3" fillId="3" borderId="1" xfId="1" applyFont="1" applyFill="1" applyBorder="1" applyAlignment="1">
      <alignment horizontal="left"/>
    </xf>
    <xf numFmtId="0" fontId="3" fillId="3" borderId="1" xfId="1" applyFont="1" applyFill="1" applyBorder="1" applyAlignment="1">
      <alignment horizontal="center"/>
    </xf>
    <xf numFmtId="0" fontId="4" fillId="10" borderId="12" xfId="1" applyFont="1" applyFill="1" applyBorder="1" applyAlignment="1">
      <alignment horizontal="center"/>
    </xf>
    <xf numFmtId="0" fontId="4" fillId="10" borderId="5" xfId="1" applyFont="1" applyFill="1" applyBorder="1" applyAlignment="1">
      <alignment horizontal="center"/>
    </xf>
    <xf numFmtId="0" fontId="4" fillId="10" borderId="2" xfId="1" applyFont="1" applyFill="1" applyBorder="1" applyAlignment="1">
      <alignment horizontal="center"/>
    </xf>
    <xf numFmtId="0" fontId="4" fillId="10" borderId="6" xfId="1" applyFont="1" applyFill="1" applyBorder="1" applyAlignment="1">
      <alignment horizontal="center"/>
    </xf>
    <xf numFmtId="0" fontId="1" fillId="0" borderId="4" xfId="0" applyFont="1" applyBorder="1" applyAlignment="1">
      <alignment horizontal="center"/>
    </xf>
    <xf numFmtId="0" fontId="4" fillId="11" borderId="2" xfId="1" applyFont="1" applyFill="1" applyBorder="1" applyAlignment="1">
      <alignment horizontal="center"/>
    </xf>
    <xf numFmtId="0" fontId="4" fillId="11" borderId="3" xfId="1" applyFont="1" applyFill="1" applyBorder="1" applyAlignment="1">
      <alignment horizontal="center"/>
    </xf>
    <xf numFmtId="0" fontId="2" fillId="0" borderId="0" xfId="1" applyAlignment="1">
      <alignment horizontal="center"/>
    </xf>
    <xf numFmtId="0" fontId="4" fillId="2" borderId="4" xfId="1" applyFont="1" applyFill="1" applyBorder="1" applyAlignment="1">
      <alignment horizontal="center"/>
    </xf>
    <xf numFmtId="0" fontId="1" fillId="0" borderId="1" xfId="0" applyFont="1" applyBorder="1" applyAlignment="1">
      <alignment horizontal="center"/>
    </xf>
    <xf numFmtId="0" fontId="11"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top" wrapText="1"/>
    </xf>
  </cellXfs>
  <cellStyles count="2">
    <cellStyle name="Normal" xfId="0" builtinId="0"/>
    <cellStyle name="Normal 2 2" xfId="1" xr:uid="{F01C9CC1-EC3A-4FCF-A090-485A35FF50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1548768</xdr:colOff>
      <xdr:row>7</xdr:row>
      <xdr:rowOff>137051</xdr:rowOff>
    </xdr:to>
    <xdr:pic>
      <xdr:nvPicPr>
        <xdr:cNvPr id="2" name="Picture 1" descr="logo_isa_1020x1020.png">
          <a:extLst>
            <a:ext uri="{FF2B5EF4-FFF2-40B4-BE49-F238E27FC236}">
              <a16:creationId xmlns:a16="http://schemas.microsoft.com/office/drawing/2014/main" id="{421EA274-AB1B-48C8-A158-EB8507DBE438}"/>
            </a:ext>
          </a:extLst>
        </xdr:cNvPr>
        <xdr:cNvPicPr>
          <a:picLocks noChangeAspect="1"/>
        </xdr:cNvPicPr>
      </xdr:nvPicPr>
      <xdr:blipFill>
        <a:blip xmlns:r="http://schemas.openxmlformats.org/officeDocument/2006/relationships" r:embed="rId1"/>
        <a:stretch>
          <a:fillRect/>
        </a:stretch>
      </xdr:blipFill>
      <xdr:spPr>
        <a:xfrm>
          <a:off x="0" y="0"/>
          <a:ext cx="1548768" cy="1462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80960483-D9D9-4BF6-BD25-49F0FBB28BF7}"/>
            </a:ext>
          </a:extLst>
        </xdr:cNvPr>
        <xdr:cNvPicPr>
          <a:picLocks noChangeAspect="1"/>
        </xdr:cNvPicPr>
      </xdr:nvPicPr>
      <xdr:blipFill>
        <a:blip xmlns:r="http://schemas.openxmlformats.org/officeDocument/2006/relationships" r:embed="rId1"/>
        <a:stretch>
          <a:fillRect/>
        </a:stretch>
      </xdr:blipFill>
      <xdr:spPr>
        <a:xfrm>
          <a:off x="449580" y="152400"/>
          <a:ext cx="1544958" cy="1583058"/>
        </a:xfrm>
        <a:prstGeom prst="rect">
          <a:avLst/>
        </a:prstGeom>
      </xdr:spPr>
    </xdr:pic>
    <xdr:clientData/>
  </xdr:oneCellAnchor>
</xdr:wsDr>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4AD9-80BF-4C1A-AEF8-3770782A3141}">
  <sheetPr>
    <tabColor theme="9" tint="0.39997558519241921"/>
  </sheetPr>
  <dimension ref="A1:N51"/>
  <sheetViews>
    <sheetView topLeftCell="A13" zoomScale="85" zoomScaleNormal="85" workbookViewId="0">
      <selection activeCell="A28" sqref="A28:B28"/>
    </sheetView>
  </sheetViews>
  <sheetFormatPr baseColWidth="10" defaultRowHeight="14.5" x14ac:dyDescent="0.35"/>
  <cols>
    <col min="1" max="1" width="14" customWidth="1"/>
    <col min="2" max="2" width="13.1796875" bestFit="1" customWidth="1"/>
    <col min="4" max="4" width="12.453125" bestFit="1" customWidth="1"/>
    <col min="7" max="7" width="8.81640625" bestFit="1" customWidth="1"/>
    <col min="8" max="8" width="8.81640625" customWidth="1"/>
    <col min="9" max="9" width="10.1796875" customWidth="1"/>
    <col min="10" max="11" width="11.54296875" customWidth="1"/>
    <col min="12" max="12" width="8.54296875" customWidth="1"/>
    <col min="13" max="13" width="5.7265625" customWidth="1"/>
    <col min="14" max="14" width="35.7265625" customWidth="1"/>
    <col min="15" max="15" width="13.453125" customWidth="1"/>
    <col min="16" max="16" width="37.453125" customWidth="1"/>
    <col min="17" max="17" width="6.7265625" customWidth="1"/>
    <col min="18" max="18" width="10.1796875" customWidth="1"/>
    <col min="19" max="19" width="6.26953125" customWidth="1"/>
    <col min="20" max="21" width="11.54296875" customWidth="1"/>
    <col min="23" max="23" width="11.54296875" customWidth="1"/>
  </cols>
  <sheetData>
    <row r="1" spans="1:14" s="12" customFormat="1" x14ac:dyDescent="0.35"/>
    <row r="3" spans="1:14" ht="15.5" x14ac:dyDescent="0.35">
      <c r="A3" s="1" t="s">
        <v>0</v>
      </c>
      <c r="B3" s="73" t="s">
        <v>1</v>
      </c>
      <c r="C3" s="73"/>
      <c r="D3" s="73"/>
      <c r="E3" s="73"/>
    </row>
    <row r="4" spans="1:14" ht="7.75" customHeight="1" x14ac:dyDescent="0.35">
      <c r="A4" s="1"/>
      <c r="B4" s="2"/>
      <c r="C4" s="2"/>
      <c r="D4" s="2"/>
      <c r="E4" s="2"/>
    </row>
    <row r="5" spans="1:14" ht="15.5" x14ac:dyDescent="0.35">
      <c r="A5" s="1" t="s">
        <v>2</v>
      </c>
      <c r="B5" s="74"/>
      <c r="C5" s="74"/>
    </row>
    <row r="6" spans="1:14" x14ac:dyDescent="0.35">
      <c r="N6" s="59"/>
    </row>
    <row r="7" spans="1:14" x14ac:dyDescent="0.35">
      <c r="N7" s="60"/>
    </row>
    <row r="8" spans="1:14" x14ac:dyDescent="0.35">
      <c r="A8" s="75" t="s">
        <v>39</v>
      </c>
      <c r="B8" s="76"/>
      <c r="N8" s="59"/>
    </row>
    <row r="9" spans="1:14" x14ac:dyDescent="0.35">
      <c r="A9" s="3" t="s">
        <v>3</v>
      </c>
      <c r="B9" s="6"/>
      <c r="N9" s="59"/>
    </row>
    <row r="10" spans="1:14" x14ac:dyDescent="0.35">
      <c r="A10" s="3" t="s">
        <v>4</v>
      </c>
      <c r="B10" s="44"/>
      <c r="N10" s="59"/>
    </row>
    <row r="11" spans="1:14" x14ac:dyDescent="0.35">
      <c r="A11" s="3" t="s">
        <v>5</v>
      </c>
      <c r="B11" s="44">
        <v>185</v>
      </c>
    </row>
    <row r="12" spans="1:14" x14ac:dyDescent="0.35">
      <c r="A12" s="3" t="s">
        <v>6</v>
      </c>
      <c r="B12" s="44">
        <v>27581</v>
      </c>
    </row>
    <row r="13" spans="1:14" x14ac:dyDescent="0.35">
      <c r="A13" s="3" t="s">
        <v>7</v>
      </c>
      <c r="B13" s="44">
        <v>22000</v>
      </c>
    </row>
    <row r="14" spans="1:14" x14ac:dyDescent="0.35">
      <c r="A14" s="3" t="s">
        <v>40</v>
      </c>
      <c r="B14" s="44">
        <v>229</v>
      </c>
    </row>
    <row r="15" spans="1:14" x14ac:dyDescent="0.35">
      <c r="A15" s="3"/>
    </row>
    <row r="17" spans="1:14" ht="15" thickBot="1" x14ac:dyDescent="0.4">
      <c r="A17" s="75" t="s">
        <v>41</v>
      </c>
      <c r="B17" s="76"/>
      <c r="C17" s="4"/>
      <c r="D17" s="77" t="s">
        <v>41</v>
      </c>
      <c r="E17" s="78"/>
      <c r="F17" s="78"/>
      <c r="N17" s="59"/>
    </row>
    <row r="18" spans="1:14" ht="15" thickBot="1" x14ac:dyDescent="0.4">
      <c r="A18" s="41" t="s">
        <v>6</v>
      </c>
      <c r="B18" s="42" t="s">
        <v>8</v>
      </c>
      <c r="C18" s="4"/>
      <c r="D18" s="37" t="s">
        <v>42</v>
      </c>
      <c r="E18" s="37" t="s">
        <v>9</v>
      </c>
      <c r="F18" s="37" t="s">
        <v>10</v>
      </c>
      <c r="N18" s="59"/>
    </row>
    <row r="19" spans="1:14" x14ac:dyDescent="0.35">
      <c r="A19" s="6">
        <f>+B12</f>
        <v>27581</v>
      </c>
      <c r="B19" s="39">
        <v>2</v>
      </c>
      <c r="C19" s="4"/>
      <c r="D19" s="7" t="s">
        <v>43</v>
      </c>
      <c r="E19" s="38">
        <v>1</v>
      </c>
      <c r="F19" s="38">
        <v>0.33</v>
      </c>
      <c r="N19" s="59"/>
    </row>
    <row r="20" spans="1:14" x14ac:dyDescent="0.35">
      <c r="A20" s="68">
        <f>+A19*0.46*B19</f>
        <v>25374.52</v>
      </c>
      <c r="B20" s="68"/>
      <c r="C20" s="4"/>
      <c r="D20" s="7" t="s">
        <v>44</v>
      </c>
      <c r="E20" s="38">
        <v>0.67</v>
      </c>
      <c r="F20" s="38">
        <v>0.67</v>
      </c>
      <c r="N20" s="59"/>
    </row>
    <row r="21" spans="1:14" x14ac:dyDescent="0.35">
      <c r="A21" s="4"/>
      <c r="B21" s="4"/>
      <c r="C21" s="4"/>
      <c r="D21" s="7" t="s">
        <v>45</v>
      </c>
      <c r="E21" s="38">
        <v>0.33</v>
      </c>
      <c r="F21" s="38">
        <v>1</v>
      </c>
      <c r="N21" s="59"/>
    </row>
    <row r="22" spans="1:14" x14ac:dyDescent="0.35">
      <c r="A22" s="4"/>
      <c r="B22" s="4"/>
      <c r="C22" s="4"/>
      <c r="H22" s="67" t="s">
        <v>57</v>
      </c>
      <c r="I22" s="67"/>
    </row>
    <row r="23" spans="1:14" x14ac:dyDescent="0.35">
      <c r="A23" s="4"/>
      <c r="B23" s="4"/>
      <c r="C23" s="4"/>
      <c r="D23" s="4"/>
      <c r="E23" s="4"/>
      <c r="F23" s="4"/>
      <c r="H23" s="61" t="s">
        <v>6</v>
      </c>
      <c r="I23" s="61">
        <f>B12</f>
        <v>27581</v>
      </c>
    </row>
    <row r="24" spans="1:14" x14ac:dyDescent="0.35">
      <c r="A24" s="4"/>
      <c r="B24" s="4"/>
      <c r="C24" s="4"/>
      <c r="D24" s="83" t="s">
        <v>46</v>
      </c>
      <c r="E24" s="83"/>
      <c r="F24" s="83"/>
      <c r="H24" s="68">
        <f>I23*0.15*B19</f>
        <v>8274.2999999999993</v>
      </c>
      <c r="I24" s="68"/>
    </row>
    <row r="25" spans="1:14" x14ac:dyDescent="0.35">
      <c r="A25" s="80" t="s">
        <v>46</v>
      </c>
      <c r="B25" s="81"/>
      <c r="C25" s="4"/>
      <c r="D25" s="7">
        <v>5000</v>
      </c>
      <c r="E25" s="7"/>
      <c r="F25" s="8">
        <v>0.6</v>
      </c>
    </row>
    <row r="26" spans="1:14" x14ac:dyDescent="0.35">
      <c r="A26" s="82" t="s">
        <v>47</v>
      </c>
      <c r="B26" s="82"/>
      <c r="C26" s="4"/>
      <c r="D26" s="7">
        <v>5000</v>
      </c>
      <c r="E26" s="7">
        <v>10000</v>
      </c>
      <c r="F26" s="8">
        <v>0.85</v>
      </c>
    </row>
    <row r="27" spans="1:14" x14ac:dyDescent="0.35">
      <c r="A27" s="82">
        <v>22000</v>
      </c>
      <c r="B27" s="82"/>
      <c r="C27" s="4"/>
      <c r="D27" s="7">
        <v>10000</v>
      </c>
      <c r="E27" s="7">
        <v>17000</v>
      </c>
      <c r="F27" s="8">
        <v>1</v>
      </c>
    </row>
    <row r="28" spans="1:14" x14ac:dyDescent="0.35">
      <c r="A28" s="72">
        <f>IF(B12&lt;=5000,(A27*1.55*F25+A27*0.5*F25),IF(B12&lt;=10000,(A27*1.55*F26+A27*0.5*F26),IF(B12&lt;=17000,(A27*1.55*F27+A27*0.5*F27),IF(B12&lt;=24000,(A27*1.55*F28+A27*0.5*F28),IF(B12&gt;24000,(A27*1.55*F29+A27*0.5*F29),0)))))</f>
        <v>51865</v>
      </c>
      <c r="B28" s="72"/>
      <c r="C28" s="4"/>
      <c r="D28" s="7">
        <v>17000</v>
      </c>
      <c r="E28" s="7">
        <v>24000</v>
      </c>
      <c r="F28" s="8">
        <v>1.1499999999999999</v>
      </c>
    </row>
    <row r="29" spans="1:14" x14ac:dyDescent="0.35">
      <c r="A29" s="4"/>
      <c r="B29" s="4"/>
      <c r="C29" s="4"/>
      <c r="D29" s="7">
        <v>24000</v>
      </c>
      <c r="E29" s="7"/>
      <c r="F29" s="8">
        <v>1.1499999999999999</v>
      </c>
    </row>
    <row r="30" spans="1:14" x14ac:dyDescent="0.35">
      <c r="A30" s="4"/>
      <c r="B30" s="4"/>
      <c r="C30" s="4"/>
    </row>
    <row r="31" spans="1:14" x14ac:dyDescent="0.35">
      <c r="A31" s="4"/>
      <c r="B31" s="4"/>
      <c r="C31" s="4"/>
      <c r="D31" s="4"/>
      <c r="E31" s="4"/>
      <c r="F31" s="4"/>
    </row>
    <row r="32" spans="1:14" x14ac:dyDescent="0.35">
      <c r="A32" s="4"/>
      <c r="B32" s="4"/>
      <c r="C32" s="4"/>
      <c r="D32" s="4"/>
      <c r="E32" s="4"/>
      <c r="F32" s="4"/>
    </row>
    <row r="33" spans="1:7" x14ac:dyDescent="0.35">
      <c r="A33" s="4"/>
      <c r="B33" s="4"/>
      <c r="C33" s="4"/>
      <c r="D33" s="4"/>
      <c r="E33" s="4"/>
      <c r="F33" s="4"/>
    </row>
    <row r="34" spans="1:7" x14ac:dyDescent="0.35">
      <c r="A34" s="69" t="s">
        <v>11</v>
      </c>
      <c r="B34" s="70"/>
      <c r="C34" s="70"/>
      <c r="D34" s="71"/>
      <c r="F34" s="4"/>
    </row>
    <row r="35" spans="1:7" x14ac:dyDescent="0.35">
      <c r="A35" s="4"/>
      <c r="B35" s="3" t="s">
        <v>48</v>
      </c>
      <c r="C35" s="3" t="s">
        <v>49</v>
      </c>
      <c r="E35" s="3"/>
      <c r="F35" s="4"/>
    </row>
    <row r="36" spans="1:7" x14ac:dyDescent="0.35">
      <c r="A36" s="3" t="s">
        <v>9</v>
      </c>
      <c r="B36" s="36">
        <v>0</v>
      </c>
      <c r="C36" s="11">
        <f>+B36*0.3048</f>
        <v>0</v>
      </c>
      <c r="E36" s="4"/>
      <c r="F36" s="4"/>
    </row>
    <row r="37" spans="1:7" x14ac:dyDescent="0.35">
      <c r="A37" s="3" t="s">
        <v>10</v>
      </c>
      <c r="B37" s="36">
        <v>0</v>
      </c>
      <c r="C37" s="11">
        <f>+B37*0.3048</f>
        <v>0</v>
      </c>
      <c r="E37" s="4"/>
      <c r="F37" s="4"/>
    </row>
    <row r="38" spans="1:7" x14ac:dyDescent="0.35">
      <c r="B38" s="3"/>
      <c r="C38" s="4"/>
      <c r="D38" s="11"/>
      <c r="E38" s="4"/>
      <c r="F38" s="4"/>
    </row>
    <row r="39" spans="1:7" x14ac:dyDescent="0.35">
      <c r="A39" s="4"/>
      <c r="B39" s="4"/>
      <c r="C39" s="4"/>
      <c r="D39" s="4"/>
      <c r="E39" s="4"/>
      <c r="F39" s="4"/>
    </row>
    <row r="40" spans="1:7" x14ac:dyDescent="0.35">
      <c r="A40" s="4"/>
      <c r="B40" s="65" t="s">
        <v>50</v>
      </c>
      <c r="C40" s="66"/>
      <c r="D40" s="66"/>
      <c r="E40" s="66"/>
      <c r="F40" s="66"/>
      <c r="G40" s="66"/>
    </row>
    <row r="41" spans="1:7" x14ac:dyDescent="0.35">
      <c r="A41" s="4"/>
      <c r="B41" s="79" t="s">
        <v>82</v>
      </c>
      <c r="C41" s="79"/>
      <c r="D41" s="79" t="s">
        <v>51</v>
      </c>
      <c r="E41" s="79"/>
      <c r="F41" s="79" t="s">
        <v>55</v>
      </c>
      <c r="G41" s="79"/>
    </row>
    <row r="42" spans="1:7" x14ac:dyDescent="0.35">
      <c r="A42" s="3" t="s">
        <v>52</v>
      </c>
      <c r="B42" s="43">
        <f>IF(C36&lt;=8.53,(+B11*14+B11*8+53*12)*0,IF(C36&lt;=9.14,(+B11*14+B11*8+53*12)*H49,IF(C36&lt;=9.75,(+B11*14+B11*8+53*12)*H50,IF(C36&gt;9.76,(+B11*14+B11*8+53*12)*H50,0))))+(+B11*14+B11*8+53*12)</f>
        <v>4706</v>
      </c>
      <c r="C42" s="43">
        <f>IF(C37&lt;=8.53,(+B11*14+B11*8+53*12)*0,IF(C37&lt;=9.14,(+B11*14+B11*8+53*12)*H49,IF(C37&lt;=9.75,(+B11*14+B11*8+53*12)*H50,IF(C37&gt;9.76,(+B11*14+B11*8+53*12)*H50,0))))+(+B11*14+B11*8+53*12)</f>
        <v>4706</v>
      </c>
      <c r="D42" s="43">
        <f>IF(C36&lt;=8.53,(+B11*14+B11*8+55*12)*0,IF(C36&lt;=9.14,(+B11*14+B11*8+55*12)*H49,IF(C36&lt;=9.75,(+B11*14+B11*8+55*12)*H50,IF(C36&gt;9.76,(+B11*14+B11*8+55*12)*H50,0))))+(+B11*14+B11*8+55*12)</f>
        <v>4730</v>
      </c>
      <c r="E42" s="43">
        <f>IF(C37&lt;=8.53,(+B11*14+B11*8+55*12)*0,IF(C37&lt;=9.14,(+B11*14+B11*8+55*12)*H49,IF(C37&lt;=9.75,(+B11*14+B11*8+55*12)*H50,IF(C37&gt;9.76,(+B11*14+B11*8+55*12)*H50,0))))+(+B11*14+B11*8+55*12)</f>
        <v>4730</v>
      </c>
      <c r="F42" s="43">
        <f>IF(C36&lt;=8.53,(+B11*14+B11*8+25*12)*0,IF(C36&lt;=9.14,(+B11*14+B11*8+25*12)*H49,IF(C36&lt;=9.75,(+B11*14+B11*8+25*12)*H50,IF(C36&gt;9.76,(+B11*14+B11*8+25*12)*H50,0))))+(+B11*14+B11*8+25*12)</f>
        <v>4370</v>
      </c>
      <c r="G42" s="43">
        <f>IF(C37&lt;=8.53,(+B11*14+B11*8+25*12)*0,IF(C37&lt;=9.14,(+B11*14+B11*8+25*12)*H49,IF(C37&lt;=9.75,(+B11*14+B11*8+25*12)*H50,IF(C37&gt;9.76,(+B11*14+B11*8+25*12)*H50,0))))+(+B11*14+B11*8+25*12)</f>
        <v>4370</v>
      </c>
    </row>
    <row r="43" spans="1:7" x14ac:dyDescent="0.35">
      <c r="A43" s="3" t="s">
        <v>12</v>
      </c>
      <c r="B43" s="43">
        <v>6064</v>
      </c>
      <c r="C43" s="43">
        <v>6064</v>
      </c>
      <c r="D43" s="43">
        <v>6064</v>
      </c>
      <c r="E43" s="43">
        <v>6064</v>
      </c>
      <c r="F43" s="43">
        <v>6064</v>
      </c>
      <c r="G43" s="43">
        <v>6064</v>
      </c>
    </row>
    <row r="44" spans="1:7" x14ac:dyDescent="0.35">
      <c r="A44" s="3" t="s">
        <v>13</v>
      </c>
      <c r="B44" s="43">
        <f t="shared" ref="B44:G44" si="0">+B42+B43</f>
        <v>10770</v>
      </c>
      <c r="C44" s="43">
        <f t="shared" si="0"/>
        <v>10770</v>
      </c>
      <c r="D44" s="43">
        <f t="shared" si="0"/>
        <v>10794</v>
      </c>
      <c r="E44" s="43">
        <f t="shared" si="0"/>
        <v>10794</v>
      </c>
      <c r="F44" s="43">
        <f t="shared" si="0"/>
        <v>10434</v>
      </c>
      <c r="G44" s="43">
        <f t="shared" si="0"/>
        <v>10434</v>
      </c>
    </row>
    <row r="45" spans="1:7" x14ac:dyDescent="0.35">
      <c r="A45" s="4"/>
      <c r="B45" s="68">
        <f>+B44+C44</f>
        <v>21540</v>
      </c>
      <c r="C45" s="68"/>
      <c r="D45" s="64">
        <f>+D44+E44</f>
        <v>21588</v>
      </c>
      <c r="E45" s="64"/>
      <c r="F45" s="64">
        <f>+F44+G44</f>
        <v>20868</v>
      </c>
      <c r="G45" s="64"/>
    </row>
    <row r="46" spans="1:7" x14ac:dyDescent="0.35">
      <c r="A46" s="3" t="s">
        <v>56</v>
      </c>
      <c r="B46" s="6">
        <f>B43*12%</f>
        <v>727.68</v>
      </c>
      <c r="C46" s="6">
        <f t="shared" ref="C46:G46" si="1">C43*12%</f>
        <v>727.68</v>
      </c>
      <c r="D46" s="6">
        <f t="shared" si="1"/>
        <v>727.68</v>
      </c>
      <c r="E46" s="6">
        <f t="shared" si="1"/>
        <v>727.68</v>
      </c>
      <c r="F46" s="6">
        <f t="shared" si="1"/>
        <v>727.68</v>
      </c>
      <c r="G46" s="6">
        <f t="shared" si="1"/>
        <v>727.68</v>
      </c>
    </row>
    <row r="47" spans="1:7" x14ac:dyDescent="0.35">
      <c r="A47" s="4"/>
      <c r="B47" s="4"/>
      <c r="D47" s="4"/>
      <c r="E47" s="4"/>
      <c r="F47" s="4"/>
    </row>
    <row r="48" spans="1:7" x14ac:dyDescent="0.35">
      <c r="A48" s="4"/>
      <c r="B48" s="7" t="s">
        <v>54</v>
      </c>
      <c r="C48" s="7"/>
      <c r="D48" s="4"/>
      <c r="E48" s="4"/>
      <c r="F48" s="4"/>
    </row>
    <row r="49" spans="1:8" x14ac:dyDescent="0.35">
      <c r="A49" s="4"/>
      <c r="B49" s="40" t="s">
        <v>81</v>
      </c>
      <c r="C49" s="40"/>
      <c r="D49" s="40">
        <v>25</v>
      </c>
      <c r="E49" s="4"/>
      <c r="F49" s="38">
        <v>8.5299999999999994</v>
      </c>
      <c r="G49" s="38">
        <v>9.14</v>
      </c>
      <c r="H49" s="8">
        <v>7.4999999999999997E-2</v>
      </c>
    </row>
    <row r="50" spans="1:8" x14ac:dyDescent="0.35">
      <c r="A50" s="4"/>
      <c r="B50" s="40" t="s">
        <v>80</v>
      </c>
      <c r="C50" s="40"/>
      <c r="D50" s="40">
        <v>53</v>
      </c>
      <c r="E50" s="4"/>
      <c r="F50" s="38">
        <v>9.14</v>
      </c>
      <c r="G50" s="38">
        <v>9.75</v>
      </c>
      <c r="H50" s="8">
        <v>0.15</v>
      </c>
    </row>
    <row r="51" spans="1:8" x14ac:dyDescent="0.35">
      <c r="A51" s="4"/>
      <c r="B51" s="40" t="s">
        <v>79</v>
      </c>
      <c r="C51" s="40"/>
      <c r="D51" s="40">
        <v>55</v>
      </c>
      <c r="E51" s="4"/>
      <c r="F51" s="5" t="s">
        <v>53</v>
      </c>
    </row>
  </sheetData>
  <mergeCells count="21">
    <mergeCell ref="B3:E3"/>
    <mergeCell ref="B5:C5"/>
    <mergeCell ref="A8:B8"/>
    <mergeCell ref="D17:F17"/>
    <mergeCell ref="B41:C41"/>
    <mergeCell ref="D41:E41"/>
    <mergeCell ref="F41:G41"/>
    <mergeCell ref="A17:B17"/>
    <mergeCell ref="A20:B20"/>
    <mergeCell ref="A25:B25"/>
    <mergeCell ref="A26:B26"/>
    <mergeCell ref="A27:B27"/>
    <mergeCell ref="D24:F24"/>
    <mergeCell ref="F45:G45"/>
    <mergeCell ref="B40:G40"/>
    <mergeCell ref="H22:I22"/>
    <mergeCell ref="H24:I24"/>
    <mergeCell ref="A34:D34"/>
    <mergeCell ref="B45:C45"/>
    <mergeCell ref="D45:E45"/>
    <mergeCell ref="A28:B28"/>
  </mergeCells>
  <dataValidations count="1">
    <dataValidation type="list" allowBlank="1" showInputMessage="1" showErrorMessage="1" sqref="B10" xr:uid="{F29401F8-E961-4151-84D6-A455413AE2A9}">
      <formula1>$A$41:$G$41</formula1>
    </dataValidation>
  </dataValidations>
  <pageMargins left="0.7" right="0.7" top="0.75" bottom="0.75" header="0.3" footer="0.3"/>
  <ignoredErrors>
    <ignoredError sqref="D42:F42"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50533485-F2F3-4152-B4CF-7F715EAEA788}">
          <x14:formula1>
            <xm:f>Calculos!$A$1:$A$59</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9063-4834-49C3-863F-E4B783BC80EC}">
  <sheetPr>
    <pageSetUpPr fitToPage="1"/>
  </sheetPr>
  <dimension ref="A6:E45"/>
  <sheetViews>
    <sheetView showGridLines="0" tabSelected="1" topLeftCell="A10" zoomScale="80" zoomScaleNormal="80" workbookViewId="0">
      <selection activeCell="C8" sqref="A8:C30"/>
    </sheetView>
  </sheetViews>
  <sheetFormatPr baseColWidth="10" defaultColWidth="9.1796875" defaultRowHeight="14.5" x14ac:dyDescent="0.35"/>
  <cols>
    <col min="1" max="1" width="48.453125" customWidth="1"/>
    <col min="2" max="2" width="22.7265625" customWidth="1"/>
    <col min="3" max="3" width="23.1796875" customWidth="1"/>
    <col min="4" max="4" width="9.1796875" customWidth="1"/>
    <col min="5" max="5" width="76.26953125" customWidth="1"/>
  </cols>
  <sheetData>
    <row r="6" spans="1:5" ht="18" customHeight="1" x14ac:dyDescent="0.35"/>
    <row r="8" spans="1:5" x14ac:dyDescent="0.35">
      <c r="C8" s="45" t="s">
        <v>160</v>
      </c>
    </row>
    <row r="9" spans="1:5" ht="15" thickBot="1" x14ac:dyDescent="0.4">
      <c r="A9" s="13"/>
      <c r="B9" s="45" t="s">
        <v>152</v>
      </c>
      <c r="C9" s="58" t="s">
        <v>153</v>
      </c>
    </row>
    <row r="10" spans="1:5" ht="15" thickBot="1" x14ac:dyDescent="0.4">
      <c r="A10" s="14" t="s">
        <v>14</v>
      </c>
      <c r="B10" s="15" t="s">
        <v>157</v>
      </c>
      <c r="C10" s="15" t="str">
        <f>B10</f>
        <v>HAOYUE</v>
      </c>
    </row>
    <row r="11" spans="1:5" x14ac:dyDescent="0.35">
      <c r="A11" s="16" t="s">
        <v>15</v>
      </c>
      <c r="B11" s="15" t="s">
        <v>39</v>
      </c>
      <c r="C11" s="15" t="s">
        <v>39</v>
      </c>
    </row>
    <row r="12" spans="1:5" x14ac:dyDescent="0.35">
      <c r="A12" s="16" t="s">
        <v>16</v>
      </c>
      <c r="B12" s="15" t="s">
        <v>91</v>
      </c>
      <c r="C12" s="15" t="s">
        <v>91</v>
      </c>
    </row>
    <row r="13" spans="1:5" x14ac:dyDescent="0.35">
      <c r="A13" s="16" t="s">
        <v>17</v>
      </c>
      <c r="B13" s="15" t="s">
        <v>158</v>
      </c>
      <c r="C13" s="15" t="s">
        <v>158</v>
      </c>
    </row>
    <row r="14" spans="1:5" ht="15" thickBot="1" x14ac:dyDescent="0.4">
      <c r="A14" s="16" t="s">
        <v>18</v>
      </c>
      <c r="B14" s="15" t="s">
        <v>19</v>
      </c>
      <c r="C14" s="15" t="s">
        <v>19</v>
      </c>
    </row>
    <row r="15" spans="1:5" ht="15" thickBot="1" x14ac:dyDescent="0.4">
      <c r="A15" s="14" t="s">
        <v>20</v>
      </c>
      <c r="B15" s="14" t="s">
        <v>21</v>
      </c>
      <c r="C15" s="14" t="s">
        <v>21</v>
      </c>
    </row>
    <row r="16" spans="1:5" x14ac:dyDescent="0.35">
      <c r="A16" s="16" t="s">
        <v>22</v>
      </c>
      <c r="B16" s="17">
        <v>25375</v>
      </c>
      <c r="C16" s="17">
        <f>'Bahia Blanca'!A20</f>
        <v>25374.52</v>
      </c>
      <c r="E16" t="s">
        <v>161</v>
      </c>
    </row>
    <row r="17" spans="1:5" x14ac:dyDescent="0.35">
      <c r="A17" s="16" t="s">
        <v>23</v>
      </c>
      <c r="B17" s="17">
        <v>51865</v>
      </c>
      <c r="C17" s="17">
        <f>'Bahia Blanca'!A28</f>
        <v>51865</v>
      </c>
      <c r="E17" t="s">
        <v>163</v>
      </c>
    </row>
    <row r="18" spans="1:5" x14ac:dyDescent="0.35">
      <c r="A18" s="16" t="s">
        <v>24</v>
      </c>
      <c r="B18" s="17">
        <v>22952</v>
      </c>
      <c r="C18" s="17">
        <f>22800</f>
        <v>22800</v>
      </c>
      <c r="E18" t="s">
        <v>164</v>
      </c>
    </row>
    <row r="19" spans="1:5" x14ac:dyDescent="0.35">
      <c r="A19" s="16" t="s">
        <v>25</v>
      </c>
      <c r="B19" s="17">
        <v>5643</v>
      </c>
      <c r="C19" s="17">
        <v>6890</v>
      </c>
      <c r="E19" t="s">
        <v>165</v>
      </c>
    </row>
    <row r="20" spans="1:5" x14ac:dyDescent="0.35">
      <c r="A20" s="16" t="s">
        <v>58</v>
      </c>
      <c r="B20" s="17">
        <v>12150</v>
      </c>
      <c r="C20" s="17">
        <v>16200</v>
      </c>
    </row>
    <row r="21" spans="1:5" x14ac:dyDescent="0.35">
      <c r="A21" s="16" t="s">
        <v>26</v>
      </c>
      <c r="B21" s="17">
        <v>200</v>
      </c>
      <c r="C21" s="17">
        <v>600</v>
      </c>
    </row>
    <row r="22" spans="1:5" x14ac:dyDescent="0.35">
      <c r="A22" s="16" t="s">
        <v>27</v>
      </c>
      <c r="B22" s="17">
        <v>1250</v>
      </c>
      <c r="C22" s="17">
        <v>1250</v>
      </c>
    </row>
    <row r="23" spans="1:5" x14ac:dyDescent="0.35">
      <c r="A23" s="16" t="s">
        <v>28</v>
      </c>
      <c r="B23" s="17">
        <v>96</v>
      </c>
      <c r="C23" s="17">
        <v>4</v>
      </c>
    </row>
    <row r="24" spans="1:5" x14ac:dyDescent="0.35">
      <c r="A24" s="16" t="s">
        <v>29</v>
      </c>
      <c r="B24" s="17">
        <v>3000</v>
      </c>
      <c r="C24" s="17">
        <f>3406*0.9</f>
        <v>3065.4</v>
      </c>
    </row>
    <row r="25" spans="1:5" x14ac:dyDescent="0.35">
      <c r="A25" s="16" t="s">
        <v>30</v>
      </c>
      <c r="B25" s="17">
        <v>4400</v>
      </c>
      <c r="C25" s="17">
        <f>2708*0.9</f>
        <v>2437.2000000000003</v>
      </c>
    </row>
    <row r="26" spans="1:5" x14ac:dyDescent="0.35">
      <c r="A26" s="16" t="s">
        <v>159</v>
      </c>
      <c r="B26" s="17">
        <v>2880</v>
      </c>
      <c r="C26" s="17">
        <v>1980</v>
      </c>
    </row>
    <row r="27" spans="1:5" x14ac:dyDescent="0.35">
      <c r="A27" s="16" t="s">
        <v>162</v>
      </c>
      <c r="B27" s="17"/>
      <c r="C27" s="17">
        <v>400</v>
      </c>
    </row>
    <row r="28" spans="1:5" x14ac:dyDescent="0.35">
      <c r="A28" s="16" t="s">
        <v>31</v>
      </c>
      <c r="B28" s="17">
        <v>2000</v>
      </c>
      <c r="C28" s="17">
        <v>2000</v>
      </c>
    </row>
    <row r="29" spans="1:5" ht="15" thickBot="1" x14ac:dyDescent="0.4"/>
    <row r="30" spans="1:5" ht="15" thickBot="1" x14ac:dyDescent="0.4">
      <c r="A30" s="18" t="s">
        <v>13</v>
      </c>
      <c r="B30" s="19">
        <f>SUM(B16:B28)</f>
        <v>131811</v>
      </c>
      <c r="C30" s="19">
        <f>SUM(C16:C28)</f>
        <v>134866.12</v>
      </c>
    </row>
    <row r="32" spans="1:5" x14ac:dyDescent="0.35">
      <c r="A32" s="16" t="s">
        <v>32</v>
      </c>
    </row>
    <row r="33" spans="1:1" x14ac:dyDescent="0.35">
      <c r="A33" s="16" t="s">
        <v>33</v>
      </c>
    </row>
    <row r="34" spans="1:1" x14ac:dyDescent="0.35">
      <c r="A34" s="16" t="s">
        <v>34</v>
      </c>
    </row>
    <row r="35" spans="1:1" ht="15" thickBot="1" x14ac:dyDescent="0.4">
      <c r="A35" s="16" t="s">
        <v>35</v>
      </c>
    </row>
    <row r="36" spans="1:1" ht="15" thickBot="1" x14ac:dyDescent="0.4">
      <c r="A36" s="62" t="s">
        <v>36</v>
      </c>
    </row>
    <row r="37" spans="1:1" ht="15" thickBot="1" x14ac:dyDescent="0.4">
      <c r="A37" s="62"/>
    </row>
    <row r="38" spans="1:1" ht="14.15" customHeight="1" thickBot="1" x14ac:dyDescent="0.4">
      <c r="A38" s="62"/>
    </row>
    <row r="39" spans="1:1" ht="15" hidden="1" thickBot="1" x14ac:dyDescent="0.4">
      <c r="A39" s="62"/>
    </row>
    <row r="40" spans="1:1" ht="15" hidden="1" thickBot="1" x14ac:dyDescent="0.4">
      <c r="A40" s="62"/>
    </row>
    <row r="41" spans="1:1" x14ac:dyDescent="0.35">
      <c r="A41" s="63" t="s">
        <v>37</v>
      </c>
    </row>
    <row r="42" spans="1:1" x14ac:dyDescent="0.35">
      <c r="A42" s="63"/>
    </row>
    <row r="43" spans="1:1" x14ac:dyDescent="0.35">
      <c r="A43" s="63"/>
    </row>
    <row r="44" spans="1:1" x14ac:dyDescent="0.35">
      <c r="A44" s="63"/>
    </row>
    <row r="45" spans="1:1" ht="40" customHeight="1" x14ac:dyDescent="0.35">
      <c r="A45" s="63"/>
    </row>
  </sheetData>
  <mergeCells count="2">
    <mergeCell ref="A36:A40"/>
    <mergeCell ref="A41:A45"/>
  </mergeCells>
  <pageMargins left="1" right="0.7" top="0.75" bottom="0.75" header="0.3" footer="0.3"/>
  <pageSetup paperSize="9" scale="76" orientation="portrait" r:id="rId1"/>
  <headerFooter>
    <oddHeader>&amp;L&amp;G</oddHead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9488-522C-4130-A6E3-41C2F033803C}">
  <sheetPr>
    <pageSetUpPr fitToPage="1"/>
  </sheetPr>
  <dimension ref="B4:O70"/>
  <sheetViews>
    <sheetView topLeftCell="A11" workbookViewId="0">
      <selection activeCell="H30" sqref="H30"/>
    </sheetView>
  </sheetViews>
  <sheetFormatPr baseColWidth="10" defaultRowHeight="14.5" x14ac:dyDescent="0.35"/>
  <cols>
    <col min="1" max="1" width="4.81640625" customWidth="1"/>
    <col min="3" max="3" width="8.453125" customWidth="1"/>
    <col min="4" max="4" width="11.81640625" customWidth="1"/>
    <col min="5" max="6" width="6.1796875" customWidth="1"/>
    <col min="8" max="8" width="6.26953125" customWidth="1"/>
    <col min="9" max="9" width="4.453125" customWidth="1"/>
    <col min="10" max="10" width="6.81640625" customWidth="1"/>
    <col min="11" max="11" width="13.1796875" bestFit="1" customWidth="1"/>
    <col min="13" max="13" width="17.81640625" customWidth="1"/>
  </cols>
  <sheetData>
    <row r="4" spans="2:14" ht="47.5" x14ac:dyDescent="1.1000000000000001">
      <c r="E4" s="85">
        <f>'Bahia Blanca'!B5</f>
        <v>0</v>
      </c>
      <c r="F4" s="85"/>
      <c r="G4" s="85"/>
      <c r="H4" s="85"/>
      <c r="I4" s="85"/>
      <c r="J4" s="85"/>
      <c r="K4" s="85"/>
      <c r="L4" s="85"/>
    </row>
    <row r="10" spans="2:14" ht="16" x14ac:dyDescent="0.35">
      <c r="B10" s="20" t="s">
        <v>22</v>
      </c>
      <c r="I10" s="20"/>
      <c r="L10" s="21"/>
    </row>
    <row r="11" spans="2:14" ht="16" x14ac:dyDescent="0.35">
      <c r="B11" s="20"/>
      <c r="I11" s="20"/>
      <c r="L11" s="21"/>
    </row>
    <row r="12" spans="2:14" ht="16" x14ac:dyDescent="0.35">
      <c r="B12" s="20"/>
      <c r="C12" s="22" t="str">
        <f>_xlfn.CONCAT("Port ","BAHIA BLANCA"," - Terminal ",'Bahia Blanca'!B10)</f>
        <v xml:space="preserve">Port BAHIA BLANCA - Terminal </v>
      </c>
      <c r="I12" s="20"/>
      <c r="J12" s="22"/>
      <c r="L12" s="21"/>
    </row>
    <row r="13" spans="2:14" ht="16" x14ac:dyDescent="0.35">
      <c r="B13" s="20"/>
      <c r="C13">
        <f>'Bahia Blanca'!B12</f>
        <v>27581</v>
      </c>
      <c r="D13" t="s">
        <v>154</v>
      </c>
      <c r="E13" t="str">
        <f>_xlfn.CONCAT('Bahia Blanca'!B19," days at port")</f>
        <v>2 days at port</v>
      </c>
      <c r="G13" s="21">
        <f>'Bahia Blanca'!A20</f>
        <v>25374.52</v>
      </c>
      <c r="I13" s="20"/>
      <c r="L13" s="21"/>
      <c r="N13" s="23"/>
    </row>
    <row r="14" spans="2:14" ht="16" x14ac:dyDescent="0.35">
      <c r="I14" s="20"/>
      <c r="L14" s="21"/>
    </row>
    <row r="15" spans="2:14" x14ac:dyDescent="0.35">
      <c r="C15" s="22"/>
      <c r="J15" s="22"/>
      <c r="N15" s="24"/>
    </row>
    <row r="16" spans="2:14" x14ac:dyDescent="0.35">
      <c r="F16" s="49" t="s">
        <v>38</v>
      </c>
      <c r="G16" s="25">
        <f>G13</f>
        <v>25374.52</v>
      </c>
      <c r="L16" s="21"/>
      <c r="M16" s="22"/>
      <c r="N16" s="25"/>
    </row>
    <row r="17" spans="2:14" x14ac:dyDescent="0.35">
      <c r="E17" s="21"/>
      <c r="L17" s="21"/>
    </row>
    <row r="18" spans="2:14" x14ac:dyDescent="0.35">
      <c r="E18" s="21"/>
      <c r="L18" s="21"/>
    </row>
    <row r="19" spans="2:14" ht="15" thickBot="1" x14ac:dyDescent="0.4">
      <c r="B19" s="26"/>
      <c r="C19" s="26"/>
      <c r="D19" s="26"/>
      <c r="E19" s="26"/>
      <c r="F19" s="26"/>
      <c r="G19" s="26"/>
      <c r="H19" s="26"/>
      <c r="I19" s="26"/>
      <c r="J19" s="26"/>
      <c r="K19" s="26"/>
      <c r="L19" s="26"/>
      <c r="M19" s="26"/>
      <c r="N19" s="26"/>
    </row>
    <row r="20" spans="2:14" ht="15" thickTop="1" x14ac:dyDescent="0.35"/>
    <row r="21" spans="2:14" ht="16" x14ac:dyDescent="0.35">
      <c r="B21" s="20" t="s">
        <v>23</v>
      </c>
    </row>
    <row r="22" spans="2:14" ht="16" x14ac:dyDescent="0.35">
      <c r="B22" s="35" t="s">
        <v>59</v>
      </c>
      <c r="C22" s="35"/>
      <c r="D22" s="35"/>
      <c r="E22" s="35"/>
      <c r="F22" s="35"/>
      <c r="G22" s="35"/>
      <c r="H22" s="35"/>
    </row>
    <row r="24" spans="2:14" ht="18.5" x14ac:dyDescent="0.45">
      <c r="D24" s="86" t="s">
        <v>155</v>
      </c>
      <c r="E24" s="86"/>
      <c r="F24" s="86"/>
      <c r="G24" s="86"/>
      <c r="H24" s="86"/>
      <c r="I24" s="86"/>
      <c r="J24" s="86"/>
    </row>
    <row r="25" spans="2:14" ht="14.5" customHeight="1" x14ac:dyDescent="0.45">
      <c r="D25" s="46"/>
    </row>
    <row r="26" spans="2:14" ht="14.5" customHeight="1" x14ac:dyDescent="0.35">
      <c r="D26" s="45">
        <f>'Bahia Blanca'!A27</f>
        <v>22000</v>
      </c>
      <c r="E26" s="45" t="s">
        <v>156</v>
      </c>
      <c r="F26" s="45" cm="1">
        <f t="array" ref="F26">_xlfn.IFS('Bahia Blanca'!A27&lt;5000,0.6,'Bahia Blanca'!A27&lt;=10000,0.85,'Bahia Blanca'!A27&lt;=17000,1,'Bahia Blanca'!A27&lt;=30000,1.15)</f>
        <v>1.1499999999999999</v>
      </c>
      <c r="G26" s="45" t="str">
        <f>_xlfn.CONCAT("* ",D26)</f>
        <v>* 22000</v>
      </c>
      <c r="H26" s="45" t="s">
        <v>75</v>
      </c>
      <c r="I26" s="45">
        <f>F26</f>
        <v>1.1499999999999999</v>
      </c>
      <c r="J26" s="10" t="str">
        <f>_xlfn.CONCAT("= ",'Bahia Blanca'!A28)</f>
        <v>= 51865</v>
      </c>
    </row>
    <row r="28" spans="2:14" x14ac:dyDescent="0.35">
      <c r="B28" s="28" t="s">
        <v>60</v>
      </c>
      <c r="I28" s="27"/>
    </row>
    <row r="29" spans="2:14" x14ac:dyDescent="0.35">
      <c r="B29" t="s">
        <v>72</v>
      </c>
      <c r="G29" s="10"/>
      <c r="I29" s="28"/>
      <c r="N29" s="10"/>
    </row>
    <row r="30" spans="2:14" x14ac:dyDescent="0.35">
      <c r="D30" s="29"/>
      <c r="G30" s="10"/>
      <c r="I30" s="28"/>
      <c r="K30" s="29"/>
      <c r="N30" s="10"/>
    </row>
    <row r="31" spans="2:14" x14ac:dyDescent="0.35">
      <c r="B31" t="s">
        <v>61</v>
      </c>
      <c r="F31" s="10"/>
      <c r="G31" s="29"/>
      <c r="I31" s="28"/>
      <c r="M31" s="30"/>
    </row>
    <row r="32" spans="2:14" ht="6.65" customHeight="1" x14ac:dyDescent="0.35">
      <c r="G32" s="31"/>
      <c r="I32" s="28"/>
      <c r="N32" s="31"/>
    </row>
    <row r="33" spans="2:14" x14ac:dyDescent="0.35">
      <c r="B33" s="84" t="s">
        <v>6</v>
      </c>
      <c r="C33" s="84"/>
      <c r="D33" s="21"/>
      <c r="F33" s="47" t="s">
        <v>62</v>
      </c>
      <c r="I33" s="28"/>
      <c r="N33" s="31"/>
    </row>
    <row r="34" spans="2:14" x14ac:dyDescent="0.35">
      <c r="B34" t="s">
        <v>66</v>
      </c>
      <c r="D34" s="21"/>
      <c r="F34" s="45" t="s">
        <v>63</v>
      </c>
    </row>
    <row r="35" spans="2:14" x14ac:dyDescent="0.35">
      <c r="B35" t="s">
        <v>67</v>
      </c>
      <c r="F35" s="45" t="s">
        <v>64</v>
      </c>
      <c r="I35" s="27"/>
    </row>
    <row r="36" spans="2:14" x14ac:dyDescent="0.35">
      <c r="B36" t="s">
        <v>68</v>
      </c>
      <c r="C36" s="32"/>
      <c r="F36" s="45">
        <v>1</v>
      </c>
      <c r="I36" s="28"/>
      <c r="N36" s="10"/>
    </row>
    <row r="37" spans="2:14" x14ac:dyDescent="0.35">
      <c r="B37" t="s">
        <v>69</v>
      </c>
      <c r="F37" s="45" t="s">
        <v>65</v>
      </c>
      <c r="I37" s="28"/>
      <c r="K37" s="29"/>
      <c r="N37" s="10"/>
    </row>
    <row r="38" spans="2:14" x14ac:dyDescent="0.35">
      <c r="B38" t="s">
        <v>70</v>
      </c>
      <c r="F38" s="45" t="s">
        <v>65</v>
      </c>
      <c r="I38" s="28"/>
      <c r="M38" s="30"/>
    </row>
    <row r="39" spans="2:14" x14ac:dyDescent="0.35">
      <c r="I39" s="28"/>
      <c r="N39" s="31"/>
    </row>
    <row r="41" spans="2:14" x14ac:dyDescent="0.35">
      <c r="B41" s="27"/>
      <c r="I41" s="27"/>
    </row>
    <row r="42" spans="2:14" x14ac:dyDescent="0.35">
      <c r="B42" s="48" t="s">
        <v>71</v>
      </c>
      <c r="F42" s="10"/>
      <c r="I42" s="28"/>
      <c r="M42" s="30"/>
    </row>
    <row r="43" spans="2:14" x14ac:dyDescent="0.35">
      <c r="B43" s="27" t="s">
        <v>73</v>
      </c>
      <c r="G43" s="31"/>
      <c r="I43" s="28"/>
      <c r="N43" s="31"/>
    </row>
    <row r="44" spans="2:14" ht="16" x14ac:dyDescent="0.35">
      <c r="B44" s="35" t="s">
        <v>74</v>
      </c>
    </row>
    <row r="45" spans="2:14" ht="16" x14ac:dyDescent="0.35">
      <c r="B45" s="35"/>
    </row>
    <row r="46" spans="2:14" ht="16" x14ac:dyDescent="0.35">
      <c r="B46" s="20"/>
      <c r="J46" s="22"/>
      <c r="K46" s="33"/>
    </row>
    <row r="47" spans="2:14" ht="16.5" thickBot="1" x14ac:dyDescent="0.4">
      <c r="B47" s="34"/>
      <c r="C47" s="26"/>
      <c r="D47" s="26"/>
      <c r="E47" s="26"/>
      <c r="F47" s="26"/>
      <c r="G47" s="26"/>
      <c r="H47" s="26"/>
      <c r="I47" s="26"/>
      <c r="J47" s="26"/>
      <c r="K47" s="26"/>
      <c r="L47" s="26"/>
      <c r="M47" s="26"/>
      <c r="N47" s="26"/>
    </row>
    <row r="48" spans="2:14" ht="16.5" thickTop="1" x14ac:dyDescent="0.35">
      <c r="B48" s="20"/>
    </row>
    <row r="49" spans="2:15" ht="16" x14ac:dyDescent="0.35">
      <c r="B49" s="20" t="s">
        <v>24</v>
      </c>
    </row>
    <row r="51" spans="2:15" x14ac:dyDescent="0.35">
      <c r="B51" s="28" t="s">
        <v>76</v>
      </c>
      <c r="C51" s="9"/>
      <c r="D51" s="9"/>
      <c r="E51" s="9"/>
      <c r="F51" s="9"/>
      <c r="G51" s="9"/>
      <c r="H51" s="9"/>
      <c r="I51" s="27"/>
      <c r="J51" s="9"/>
      <c r="K51" s="9"/>
    </row>
    <row r="52" spans="2:15" ht="15.65" customHeight="1" x14ac:dyDescent="0.35">
      <c r="B52" s="87" t="s">
        <v>90</v>
      </c>
      <c r="C52" s="87"/>
      <c r="D52" s="87"/>
      <c r="E52" s="87"/>
      <c r="F52" s="87"/>
      <c r="G52" s="87"/>
      <c r="H52" s="87"/>
      <c r="I52" s="87"/>
      <c r="J52" s="87"/>
      <c r="K52" s="87"/>
      <c r="L52" s="87"/>
    </row>
    <row r="53" spans="2:15" ht="15.65" customHeight="1" x14ac:dyDescent="0.35">
      <c r="B53" s="87"/>
      <c r="C53" s="87"/>
      <c r="D53" s="87"/>
      <c r="E53" s="87"/>
      <c r="F53" s="87"/>
      <c r="G53" s="87"/>
      <c r="H53" s="87"/>
      <c r="I53" s="87"/>
      <c r="J53" s="87"/>
      <c r="K53" s="87"/>
      <c r="L53" s="87"/>
      <c r="N53" s="10"/>
    </row>
    <row r="54" spans="2:15" ht="15.65" customHeight="1" x14ac:dyDescent="0.35">
      <c r="B54" s="50"/>
      <c r="C54" s="50"/>
      <c r="D54" s="50"/>
      <c r="E54" s="50"/>
      <c r="F54" s="50"/>
      <c r="G54" s="50"/>
      <c r="H54" s="50"/>
      <c r="I54" s="50"/>
      <c r="J54" s="50"/>
      <c r="K54" s="50"/>
      <c r="L54" s="50"/>
      <c r="N54" s="10"/>
    </row>
    <row r="55" spans="2:15" ht="15.65" customHeight="1" x14ac:dyDescent="0.35">
      <c r="B55" s="50"/>
      <c r="C55" s="53" t="s">
        <v>78</v>
      </c>
      <c r="D55" s="51" t="str">
        <f>_xlfn.CONCAT('Bahia Blanca'!B11," ) "," + ")</f>
        <v xml:space="preserve">185 )  + </v>
      </c>
      <c r="E55" s="51" t="s">
        <v>77</v>
      </c>
      <c r="F55" s="50" t="str">
        <f>D55</f>
        <v xml:space="preserve">185 )  + </v>
      </c>
      <c r="G55" t="e" cm="1">
        <f t="array" ref="G55">_xlfn.IFS('Bahia Blanca'!B10='Bahia Blanca'!B41,"+ (12  *  53)",'Bahia Blanca'!B10='Bahia Blanca'!D41,"+ (12 * 55)",'Bahia Blanca'!B10='Bahia Blanca'!F41,"+ (12 * 25)")</f>
        <v>#N/A</v>
      </c>
      <c r="H55" s="50" t="s">
        <v>83</v>
      </c>
      <c r="I55" s="50" t="s">
        <v>148</v>
      </c>
      <c r="J55" s="56" t="s">
        <v>19</v>
      </c>
      <c r="K55" s="55">
        <f>IF('Bahia Blanca'!B10='Bahia Blanca'!B41,'Bahia Blanca'!B42,IF('Bahia Blanca'!B10='Bahia Blanca'!D41,'Bahia Blanca'!D42,IF('Bahia Blanca'!B10='Bahia Blanca'!F41,'Bahia Blanca'!F42,0)))</f>
        <v>0</v>
      </c>
      <c r="L55" s="50"/>
      <c r="N55" s="10"/>
    </row>
    <row r="56" spans="2:15" ht="16" x14ac:dyDescent="0.35">
      <c r="B56" s="35"/>
      <c r="G56" s="10"/>
      <c r="I56" s="35"/>
      <c r="N56" s="10"/>
    </row>
    <row r="57" spans="2:15" ht="16" x14ac:dyDescent="0.35">
      <c r="B57" s="35"/>
      <c r="G57" s="10"/>
      <c r="I57" s="35"/>
      <c r="N57" s="10"/>
    </row>
    <row r="58" spans="2:15" ht="16" x14ac:dyDescent="0.35">
      <c r="B58" s="54" t="s">
        <v>84</v>
      </c>
      <c r="G58" s="10"/>
      <c r="I58" s="35"/>
      <c r="N58" s="10"/>
    </row>
    <row r="59" spans="2:15" ht="16" x14ac:dyDescent="0.35">
      <c r="G59" s="10"/>
      <c r="I59" s="35"/>
      <c r="N59" s="10"/>
    </row>
    <row r="60" spans="2:15" ht="16" x14ac:dyDescent="0.35">
      <c r="B60" s="35"/>
      <c r="C60" s="84" t="s">
        <v>85</v>
      </c>
      <c r="D60" s="84"/>
      <c r="E60" s="21"/>
      <c r="F60" s="47" t="s">
        <v>86</v>
      </c>
      <c r="I60" s="35"/>
      <c r="N60" s="10"/>
      <c r="O60" s="52"/>
    </row>
    <row r="61" spans="2:15" ht="16" x14ac:dyDescent="0.35">
      <c r="B61" s="35"/>
      <c r="C61" t="s">
        <v>87</v>
      </c>
      <c r="E61" s="21"/>
      <c r="F61" s="45">
        <v>25</v>
      </c>
      <c r="I61" s="35"/>
      <c r="N61" s="10"/>
    </row>
    <row r="62" spans="2:15" ht="16" x14ac:dyDescent="0.35">
      <c r="B62" s="35"/>
      <c r="C62" t="s">
        <v>88</v>
      </c>
      <c r="F62" s="45">
        <v>53</v>
      </c>
      <c r="G62" s="10"/>
      <c r="I62" s="35"/>
      <c r="N62" s="10"/>
    </row>
    <row r="63" spans="2:15" ht="16" x14ac:dyDescent="0.35">
      <c r="B63" s="35"/>
      <c r="C63" t="s">
        <v>89</v>
      </c>
      <c r="F63" s="45">
        <v>55</v>
      </c>
      <c r="G63" s="10"/>
      <c r="I63" s="35"/>
      <c r="N63" s="10"/>
    </row>
    <row r="64" spans="2:15" ht="16" x14ac:dyDescent="0.35">
      <c r="B64" s="35"/>
      <c r="G64" s="10"/>
      <c r="I64" s="35"/>
      <c r="N64" s="10"/>
    </row>
    <row r="65" spans="2:14" ht="16" x14ac:dyDescent="0.35">
      <c r="B65" s="35"/>
      <c r="G65" s="10"/>
      <c r="I65" s="35"/>
      <c r="N65" s="31"/>
    </row>
    <row r="66" spans="2:14" ht="16" x14ac:dyDescent="0.4">
      <c r="B66" s="35" t="s">
        <v>149</v>
      </c>
      <c r="G66" s="10"/>
      <c r="H66" s="57" t="s">
        <v>150</v>
      </c>
      <c r="I66" s="35"/>
      <c r="N66" s="31"/>
    </row>
    <row r="67" spans="2:14" ht="16" x14ac:dyDescent="0.35">
      <c r="B67" s="35"/>
      <c r="G67" s="10"/>
      <c r="I67" s="35"/>
      <c r="N67" s="10"/>
    </row>
    <row r="68" spans="2:14" x14ac:dyDescent="0.35">
      <c r="B68" s="22"/>
      <c r="G68" s="33"/>
      <c r="I68" s="22"/>
      <c r="N68" s="33"/>
    </row>
    <row r="69" spans="2:14" ht="16.5" thickBot="1" x14ac:dyDescent="0.4">
      <c r="B69" s="34"/>
      <c r="C69" s="26"/>
      <c r="D69" s="26"/>
      <c r="E69" s="26"/>
      <c r="F69" s="26"/>
      <c r="G69" s="26"/>
      <c r="H69" s="26"/>
      <c r="I69" s="26"/>
      <c r="J69" s="26"/>
      <c r="K69" s="26"/>
      <c r="L69" s="26"/>
      <c r="M69" s="26"/>
      <c r="N69" s="26"/>
    </row>
    <row r="70" spans="2:14" ht="15" thickTop="1" x14ac:dyDescent="0.35"/>
  </sheetData>
  <mergeCells count="5">
    <mergeCell ref="C60:D60"/>
    <mergeCell ref="B33:C33"/>
    <mergeCell ref="E4:L4"/>
    <mergeCell ref="D24:J24"/>
    <mergeCell ref="B52:L53"/>
  </mergeCells>
  <pageMargins left="0.7" right="0.7" top="0.75" bottom="0.75" header="0.3" footer="0.3"/>
  <pageSetup paperSize="9" scale="4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8729-80EC-459D-BB97-477EB13CCE1A}">
  <dimension ref="A1:A82"/>
  <sheetViews>
    <sheetView zoomScale="85" zoomScaleNormal="85" workbookViewId="0">
      <selection activeCell="C8" sqref="C8"/>
    </sheetView>
  </sheetViews>
  <sheetFormatPr baseColWidth="10" defaultRowHeight="14.5" x14ac:dyDescent="0.35"/>
  <sheetData>
    <row r="1" spans="1:1" x14ac:dyDescent="0.35">
      <c r="A1" t="s">
        <v>1</v>
      </c>
    </row>
    <row r="2" spans="1:1" x14ac:dyDescent="0.35">
      <c r="A2" t="s">
        <v>151</v>
      </c>
    </row>
    <row r="3" spans="1:1" x14ac:dyDescent="0.35">
      <c r="A3" t="s">
        <v>91</v>
      </c>
    </row>
    <row r="4" spans="1:1" x14ac:dyDescent="0.35">
      <c r="A4" t="s">
        <v>92</v>
      </c>
    </row>
    <row r="5" spans="1:1" x14ac:dyDescent="0.35">
      <c r="A5" t="s">
        <v>93</v>
      </c>
    </row>
    <row r="6" spans="1:1" x14ac:dyDescent="0.35">
      <c r="A6" t="s">
        <v>94</v>
      </c>
    </row>
    <row r="7" spans="1:1" x14ac:dyDescent="0.35">
      <c r="A7" t="s">
        <v>95</v>
      </c>
    </row>
    <row r="8" spans="1:1" x14ac:dyDescent="0.35">
      <c r="A8" t="s">
        <v>96</v>
      </c>
    </row>
    <row r="9" spans="1:1" x14ac:dyDescent="0.35">
      <c r="A9" t="s">
        <v>97</v>
      </c>
    </row>
    <row r="10" spans="1:1" x14ac:dyDescent="0.35">
      <c r="A10" t="s">
        <v>98</v>
      </c>
    </row>
    <row r="11" spans="1:1" x14ac:dyDescent="0.35">
      <c r="A11" t="s">
        <v>99</v>
      </c>
    </row>
    <row r="12" spans="1:1" x14ac:dyDescent="0.35">
      <c r="A12" t="s">
        <v>100</v>
      </c>
    </row>
    <row r="13" spans="1:1" x14ac:dyDescent="0.35">
      <c r="A13" t="s">
        <v>101</v>
      </c>
    </row>
    <row r="14" spans="1:1" x14ac:dyDescent="0.35">
      <c r="A14" t="s">
        <v>102</v>
      </c>
    </row>
    <row r="15" spans="1:1" x14ac:dyDescent="0.35">
      <c r="A15" t="s">
        <v>103</v>
      </c>
    </row>
    <row r="16" spans="1:1" x14ac:dyDescent="0.35">
      <c r="A16" t="s">
        <v>104</v>
      </c>
    </row>
    <row r="17" spans="1:1" x14ac:dyDescent="0.35">
      <c r="A17" t="s">
        <v>105</v>
      </c>
    </row>
    <row r="18" spans="1:1" x14ac:dyDescent="0.35">
      <c r="A18" t="s">
        <v>106</v>
      </c>
    </row>
    <row r="19" spans="1:1" x14ac:dyDescent="0.35">
      <c r="A19" t="s">
        <v>107</v>
      </c>
    </row>
    <row r="20" spans="1:1" x14ac:dyDescent="0.35">
      <c r="A20" t="s">
        <v>108</v>
      </c>
    </row>
    <row r="21" spans="1:1" x14ac:dyDescent="0.35">
      <c r="A21" t="s">
        <v>109</v>
      </c>
    </row>
    <row r="22" spans="1:1" x14ac:dyDescent="0.35">
      <c r="A22" t="s">
        <v>110</v>
      </c>
    </row>
    <row r="23" spans="1:1" x14ac:dyDescent="0.35">
      <c r="A23" t="s">
        <v>111</v>
      </c>
    </row>
    <row r="24" spans="1:1" x14ac:dyDescent="0.35">
      <c r="A24" t="s">
        <v>112</v>
      </c>
    </row>
    <row r="25" spans="1:1" x14ac:dyDescent="0.35">
      <c r="A25" t="s">
        <v>113</v>
      </c>
    </row>
    <row r="26" spans="1:1" x14ac:dyDescent="0.35">
      <c r="A26" t="s">
        <v>114</v>
      </c>
    </row>
    <row r="27" spans="1:1" x14ac:dyDescent="0.35">
      <c r="A27" t="s">
        <v>115</v>
      </c>
    </row>
    <row r="28" spans="1:1" x14ac:dyDescent="0.35">
      <c r="A28" t="s">
        <v>116</v>
      </c>
    </row>
    <row r="29" spans="1:1" x14ac:dyDescent="0.35">
      <c r="A29" t="s">
        <v>117</v>
      </c>
    </row>
    <row r="30" spans="1:1" x14ac:dyDescent="0.35">
      <c r="A30" t="s">
        <v>118</v>
      </c>
    </row>
    <row r="31" spans="1:1" x14ac:dyDescent="0.35">
      <c r="A31" t="s">
        <v>119</v>
      </c>
    </row>
    <row r="32" spans="1:1" x14ac:dyDescent="0.35">
      <c r="A32" t="s">
        <v>120</v>
      </c>
    </row>
    <row r="33" spans="1:1" x14ac:dyDescent="0.35">
      <c r="A33" t="s">
        <v>121</v>
      </c>
    </row>
    <row r="34" spans="1:1" x14ac:dyDescent="0.35">
      <c r="A34" t="s">
        <v>122</v>
      </c>
    </row>
    <row r="35" spans="1:1" x14ac:dyDescent="0.35">
      <c r="A35" t="s">
        <v>123</v>
      </c>
    </row>
    <row r="36" spans="1:1" x14ac:dyDescent="0.35">
      <c r="A36" t="s">
        <v>124</v>
      </c>
    </row>
    <row r="37" spans="1:1" x14ac:dyDescent="0.35">
      <c r="A37" t="s">
        <v>125</v>
      </c>
    </row>
    <row r="38" spans="1:1" x14ac:dyDescent="0.35">
      <c r="A38" t="s">
        <v>126</v>
      </c>
    </row>
    <row r="39" spans="1:1" x14ac:dyDescent="0.35">
      <c r="A39" t="s">
        <v>127</v>
      </c>
    </row>
    <row r="40" spans="1:1" x14ac:dyDescent="0.35">
      <c r="A40" t="s">
        <v>128</v>
      </c>
    </row>
    <row r="41" spans="1:1" x14ac:dyDescent="0.35">
      <c r="A41" t="s">
        <v>129</v>
      </c>
    </row>
    <row r="42" spans="1:1" x14ac:dyDescent="0.35">
      <c r="A42" t="s">
        <v>130</v>
      </c>
    </row>
    <row r="43" spans="1:1" x14ac:dyDescent="0.35">
      <c r="A43" t="s">
        <v>131</v>
      </c>
    </row>
    <row r="44" spans="1:1" x14ac:dyDescent="0.35">
      <c r="A44" t="s">
        <v>132</v>
      </c>
    </row>
    <row r="45" spans="1:1" x14ac:dyDescent="0.35">
      <c r="A45" t="s">
        <v>133</v>
      </c>
    </row>
    <row r="46" spans="1:1" x14ac:dyDescent="0.35">
      <c r="A46" t="s">
        <v>134</v>
      </c>
    </row>
    <row r="47" spans="1:1" x14ac:dyDescent="0.35">
      <c r="A47" t="s">
        <v>135</v>
      </c>
    </row>
    <row r="48" spans="1:1" x14ac:dyDescent="0.35">
      <c r="A48" t="s">
        <v>136</v>
      </c>
    </row>
    <row r="49" spans="1:1" x14ac:dyDescent="0.35">
      <c r="A49" t="s">
        <v>137</v>
      </c>
    </row>
    <row r="50" spans="1:1" x14ac:dyDescent="0.35">
      <c r="A50" t="s">
        <v>138</v>
      </c>
    </row>
    <row r="51" spans="1:1" x14ac:dyDescent="0.35">
      <c r="A51" t="s">
        <v>139</v>
      </c>
    </row>
    <row r="52" spans="1:1" x14ac:dyDescent="0.35">
      <c r="A52" t="s">
        <v>140</v>
      </c>
    </row>
    <row r="53" spans="1:1" x14ac:dyDescent="0.35">
      <c r="A53" t="s">
        <v>141</v>
      </c>
    </row>
    <row r="54" spans="1:1" x14ac:dyDescent="0.35">
      <c r="A54" t="s">
        <v>142</v>
      </c>
    </row>
    <row r="55" spans="1:1" x14ac:dyDescent="0.35">
      <c r="A55" t="s">
        <v>143</v>
      </c>
    </row>
    <row r="56" spans="1:1" x14ac:dyDescent="0.35">
      <c r="A56" t="s">
        <v>144</v>
      </c>
    </row>
    <row r="57" spans="1:1" x14ac:dyDescent="0.35">
      <c r="A57" t="s">
        <v>145</v>
      </c>
    </row>
    <row r="58" spans="1:1" x14ac:dyDescent="0.35">
      <c r="A58" t="s">
        <v>146</v>
      </c>
    </row>
    <row r="59" spans="1:1" x14ac:dyDescent="0.35">
      <c r="A59" t="s">
        <v>147</v>
      </c>
    </row>
    <row r="73" ht="14.5" customHeight="1" x14ac:dyDescent="0.35"/>
    <row r="82" ht="14.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Bahia Blanca</vt:lpstr>
      <vt:lpstr>Ajustada</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dcterms:created xsi:type="dcterms:W3CDTF">2024-08-19T16:25:59Z</dcterms:created>
  <dcterms:modified xsi:type="dcterms:W3CDTF">2026-03-26T17:13:58Z</dcterms:modified>
</cp:coreProperties>
</file>